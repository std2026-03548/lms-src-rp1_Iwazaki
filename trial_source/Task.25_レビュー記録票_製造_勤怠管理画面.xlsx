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hree\Documents\研修\教材_フレームワーク実践\07_個人演習\40_レビュー\02_製造\"/>
    </mc:Choice>
  </mc:AlternateContent>
  <xr:revisionPtr revIDLastSave="0" documentId="13_ncr:1_{E33B1143-1F6F-45BF-B7AD-745D06A2349B}" xr6:coauthVersionLast="47" xr6:coauthVersionMax="47" xr10:uidLastSave="{00000000-0000-0000-0000-000000000000}"/>
  <bookViews>
    <workbookView xWindow="-86520" yWindow="6150" windowWidth="29040" windowHeight="15720" tabRatio="702" xr2:uid="{00000000-000D-0000-FFFF-FFFF00000000}"/>
  </bookViews>
  <sheets>
    <sheet name="レビュー前セルフチェック記録表_Task.25" sheetId="1" r:id="rId1"/>
    <sheet name="レビュー記録表_Task.25" sheetId="3" r:id="rId2"/>
  </sheets>
  <definedNames>
    <definedName name="_xlnm.Print_Area" localSheetId="0">レビュー前セルフチェック記録表_Task.25!$A$1:$BC$61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S6" i="3" l="1"/>
  <c r="E6" i="3"/>
  <c r="R3" i="3" s="1"/>
  <c r="A55" i="1"/>
  <c r="A54" i="1"/>
  <c r="A51" i="1"/>
  <c r="A50" i="1"/>
  <c r="A47" i="1"/>
  <c r="A46" i="1"/>
  <c r="A43" i="1"/>
  <c r="A42" i="1"/>
  <c r="A39" i="1"/>
  <c r="A38" i="1"/>
  <c r="A35" i="1"/>
  <c r="A34" i="1"/>
  <c r="A31" i="1"/>
  <c r="A30" i="1"/>
  <c r="A27" i="1"/>
  <c r="A26" i="1"/>
  <c r="A25" i="1"/>
  <c r="A24" i="1"/>
  <c r="A23" i="1"/>
  <c r="A22" i="1"/>
  <c r="A21" i="1"/>
  <c r="A20" i="1"/>
  <c r="A19" i="1"/>
  <c r="A18" i="1"/>
  <c r="A17" i="1"/>
  <c r="A16" i="1"/>
  <c r="A15" i="1"/>
  <c r="A14" i="1"/>
  <c r="A13" i="1"/>
  <c r="A12" i="1"/>
  <c r="A10" i="3"/>
  <c r="A15" i="3"/>
  <c r="A20" i="3"/>
  <c r="A25" i="3"/>
  <c r="A30" i="3"/>
  <c r="A35" i="3"/>
  <c r="A40" i="3"/>
  <c r="A45" i="3"/>
  <c r="A50" i="3"/>
  <c r="A55" i="3"/>
  <c r="A60" i="3"/>
  <c r="A65" i="3"/>
  <c r="A70" i="3"/>
  <c r="A75" i="3"/>
  <c r="A80" i="3"/>
  <c r="A85" i="3" l="1"/>
  <c r="A90" i="3" s="1"/>
  <c r="A95" i="3"/>
  <c r="A100" i="3"/>
  <c r="A105" i="3" l="1"/>
</calcChain>
</file>

<file path=xl/sharedStrings.xml><?xml version="1.0" encoding="utf-8"?>
<sst xmlns="http://schemas.openxmlformats.org/spreadsheetml/2006/main" count="126" uniqueCount="84">
  <si>
    <t>プロジェクト名</t>
  </si>
  <si>
    <t>システム名</t>
  </si>
  <si>
    <t>レビュー前セルフチェック表</t>
  </si>
  <si>
    <t>作成者</t>
  </si>
  <si>
    <t>作成日</t>
  </si>
  <si>
    <t>更新者</t>
  </si>
  <si>
    <t>更新日</t>
  </si>
  <si>
    <t>体験型Java研修</t>
  </si>
  <si>
    <t>LMS学習管理システム</t>
  </si>
  <si>
    <t>ソースコード</t>
  </si>
  <si>
    <t>成果物</t>
  </si>
  <si>
    <t>機能名</t>
  </si>
  <si>
    <t>確認日時</t>
  </si>
  <si>
    <t>確認日(TL)</t>
  </si>
  <si>
    <t>確認者</t>
  </si>
  <si>
    <t>確認者(TL)</t>
  </si>
  <si>
    <t>判定</t>
  </si>
  <si>
    <t>分類：共通</t>
  </si>
  <si>
    <t>No</t>
  </si>
  <si>
    <t>確認内容</t>
  </si>
  <si>
    <t>確認</t>
  </si>
  <si>
    <t>備考</t>
  </si>
  <si>
    <t>未使用のimport文は削除されていること</t>
  </si>
  <si>
    <t>未使用の変数は削除されていること</t>
  </si>
  <si>
    <t xml:space="preserve">try,catch文を使用する場合、Exceptionで囲わず、発生が想定される例外(NumberFormatExceptionなど)で囲うこと
</t>
  </si>
  <si>
    <t>クラスで定義しているメソッドは上から順に、public,protected,privateの順番になっていること</t>
  </si>
  <si>
    <t>インデントがあり、読みやすいコードとなっていること
※Ctrl+shift+Fで自動整形される</t>
  </si>
  <si>
    <t>グローバルなスコープが必要のない変数がグローバル変数で定義されていないこと
※特定の箇所でしか使わない変数は使用する直前で定義されていること</t>
  </si>
  <si>
    <t>三項演算子を使った結果、コードが理解しずらいものになっていないこと</t>
  </si>
  <si>
    <t>コメントが必要なコードに（処理が理解しづらいなど）、コメントが記載されていること</t>
  </si>
  <si>
    <t>フィールドのアクセス修飾子は、privateであること</t>
  </si>
  <si>
    <t>分類：Controllerクラス</t>
  </si>
  <si>
    <t xml:space="preserve">原則、下記の処理どおりのコーディングとなっていること
・Service呼び出し
・画面表示処理
※Controllerから直接Mapperの呼び出しはNG
</t>
  </si>
  <si>
    <t>分類：Serviceクラス</t>
  </si>
  <si>
    <t>原則、下記の処理どおりのコーディングとなっていること
・入力値の相関チェック
・DB相関チェック
・DTO詰め替え
・その他</t>
  </si>
  <si>
    <t>分類：Mapperクラス</t>
  </si>
  <si>
    <t>分類：XMLファイル（SQL)</t>
  </si>
  <si>
    <t>分類：HTML,CSS</t>
  </si>
  <si>
    <t>分類：レビュー依頼準備</t>
  </si>
  <si>
    <t>下記レビュー記録表（原本）のファイル名を対象の機能名に変更すること
※原本_レビュー記録票_製造_機能名.xlsx
変更例）レビュー記録票_製造_コース一覧.xlsx</t>
  </si>
  <si>
    <t>上記ファイルのレビュー記録表（テンプレート）シート内の作成者、作成日、成果物、機能名を記入すること
※レビュー日、レビュー形式などは未記入でよい</t>
  </si>
  <si>
    <t>上記ファイルのレビュー記録票（テンプレート）シート名にタスクNoが記載されていること</t>
  </si>
  <si>
    <t>上記修正後、ファイルをgitへcommit&amp;pushすること</t>
  </si>
  <si>
    <t>レビュー記録表</t>
  </si>
  <si>
    <t>レビュー日時</t>
  </si>
  <si>
    <t>レビュー形式</t>
  </si>
  <si>
    <t>再レビュー</t>
  </si>
  <si>
    <t>開始時刻</t>
  </si>
  <si>
    <t>レビュアー</t>
  </si>
  <si>
    <t>終了時刻</t>
  </si>
  <si>
    <t>レビューイ</t>
  </si>
  <si>
    <t>指摘箇所</t>
  </si>
  <si>
    <t>指摘事項</t>
  </si>
  <si>
    <t>指摘された原因</t>
  </si>
  <si>
    <t>対応内容</t>
  </si>
  <si>
    <t>対応状況</t>
  </si>
  <si>
    <r>
      <t xml:space="preserve">不要なデバッグ用コンソールログは削除されていること
例）
</t>
    </r>
    <r>
      <rPr>
        <sz val="10"/>
        <color theme="3" tint="0.249977111117893"/>
        <rFont val="ＭＳ Ｐゴシック"/>
        <family val="3"/>
        <charset val="128"/>
      </rPr>
      <t xml:space="preserve">System.out.println(“テストログ１”); </t>
    </r>
    <phoneticPr fontId="7"/>
  </si>
  <si>
    <t>getter,setterが作成されていること（STSの機能である自動生成を使用していること）
STS&gt;ソース&gt;getterおよびsetterの生成 ※メソッド・コメントの生成をチェック
※Lombokライブラリを利用している場合は、逆にgetter,setterを記述しないこと。</t>
    <rPh sb="107" eb="109">
      <t>リヨウ</t>
    </rPh>
    <rPh sb="113" eb="115">
      <t>バアイ</t>
    </rPh>
    <rPh sb="117" eb="118">
      <t>ギャク</t>
    </rPh>
    <rPh sb="133" eb="135">
      <t>キジュツ</t>
    </rPh>
    <phoneticPr fontId="7"/>
  </si>
  <si>
    <r>
      <t>修正箇所の先頭に下記を記載されていること 
JAVAの場合：</t>
    </r>
    <r>
      <rPr>
        <sz val="10"/>
        <color theme="3" tint="0.249977111117893"/>
        <rFont val="ＭＳ Ｐゴシック"/>
        <family val="3"/>
        <charset val="128"/>
      </rPr>
      <t>// 製造太郎 – Task.○○　　　　　　　　　　　　　</t>
    </r>
    <r>
      <rPr>
        <sz val="10"/>
        <color rgb="FFFF0000"/>
        <rFont val="ＭＳ Ｐゴシック"/>
        <family val="3"/>
        <charset val="128"/>
      </rPr>
      <t>←　単一行コメント</t>
    </r>
    <r>
      <rPr>
        <sz val="10"/>
        <color rgb="FF000000"/>
        <rFont val="ＭＳ Ｐゴシック"/>
        <family val="2"/>
        <charset val="128"/>
      </rPr>
      <t xml:space="preserve">
HTMLまたはXMLの場合：</t>
    </r>
    <r>
      <rPr>
        <sz val="10"/>
        <color theme="3" tint="0.249977111117893"/>
        <rFont val="ＭＳ Ｐゴシック"/>
        <family val="3"/>
        <charset val="128"/>
      </rPr>
      <t>&lt;!-- 製造太郎 – Task.○○ –-&gt;</t>
    </r>
    <r>
      <rPr>
        <sz val="10"/>
        <color rgb="FF000000"/>
        <rFont val="ＭＳ Ｐゴシック"/>
        <family val="2"/>
        <charset val="128"/>
      </rPr>
      <t xml:space="preserve">
CSSの場合：</t>
    </r>
    <r>
      <rPr>
        <sz val="10"/>
        <color theme="3" tint="0.249977111117893"/>
        <rFont val="ＭＳ Ｐゴシック"/>
        <family val="3"/>
        <charset val="128"/>
      </rPr>
      <t>/* 製造太郎 – Task.○○ -*/</t>
    </r>
    <r>
      <rPr>
        <sz val="10"/>
        <color rgb="FF000000"/>
        <rFont val="ＭＳ Ｐゴシック"/>
        <family val="2"/>
        <charset val="128"/>
      </rPr>
      <t xml:space="preserve">
※ファイルに合わせたコメント形式で記述すること</t>
    </r>
    <rPh sb="33" eb="35">
      <t>セイゾウ</t>
    </rPh>
    <rPh sb="35" eb="37">
      <t>タロウ</t>
    </rPh>
    <rPh sb="62" eb="65">
      <t>タンイツギョウ</t>
    </rPh>
    <rPh sb="151" eb="153">
      <t>ケイシキ</t>
    </rPh>
    <rPh sb="154" eb="156">
      <t>キジュツ</t>
    </rPh>
    <phoneticPr fontId="7"/>
  </si>
  <si>
    <t>Repository、Util処理はメソッド内で初期化せず、@autowiredを使用しDI(DependencyInjection)していること</t>
    <phoneticPr fontId="7"/>
  </si>
  <si>
    <t>サービス処理、Util処理はメソッド内で初期化せず、@autowiredを使用しDI(DependencyInjection)していること</t>
    <phoneticPr fontId="7"/>
  </si>
  <si>
    <t>SQLのインデントはEclipseショートカット（Ctrl + Shift + F）ではなく、句の単位で改行を行うこと。</t>
    <rPh sb="47" eb="48">
      <t>ク</t>
    </rPh>
    <rPh sb="49" eb="51">
      <t>タンイ</t>
    </rPh>
    <rPh sb="52" eb="54">
      <t>カイギョウ</t>
    </rPh>
    <rPh sb="55" eb="56">
      <t>オコナ</t>
    </rPh>
    <phoneticPr fontId="7"/>
  </si>
  <si>
    <t>HTMLのインデントはEclipseショートカット（Ctrl + Shift + F）ではなく、要素の単位で見やすく行うこと。</t>
    <rPh sb="48" eb="50">
      <t>ヨウソ</t>
    </rPh>
    <rPh sb="51" eb="53">
      <t>タンイ</t>
    </rPh>
    <rPh sb="54" eb="55">
      <t>ミ</t>
    </rPh>
    <rPh sb="58" eb="59">
      <t>オコナ</t>
    </rPh>
    <phoneticPr fontId="7"/>
  </si>
  <si>
    <t>コミット時のコメントが「接頭辞：担当者 Ｔａｓｋ.○○ 変更内容」（改行なし）の形式で記載されていること</t>
    <rPh sb="4" eb="5">
      <t>ジ</t>
    </rPh>
    <rPh sb="34" eb="36">
      <t>カイギョウ</t>
    </rPh>
    <rPh sb="40" eb="42">
      <t>ケイシキ</t>
    </rPh>
    <phoneticPr fontId="7"/>
  </si>
  <si>
    <r>
      <t xml:space="preserve">メソッドのJavaDocコメントが正しく記述されていること（Shift + Alt + J）
例）
</t>
    </r>
    <r>
      <rPr>
        <sz val="10"/>
        <color rgb="FF3F5FBF"/>
        <rFont val="ＭＳ Ｐゴシック"/>
        <family val="3"/>
        <charset val="128"/>
      </rPr>
      <t>/**　</t>
    </r>
    <r>
      <rPr>
        <sz val="10"/>
        <color rgb="FFFF0000"/>
        <rFont val="ＭＳ Ｐゴシック"/>
        <family val="3"/>
        <charset val="128"/>
      </rPr>
      <t>←　アスタリスクは2つ</t>
    </r>
    <r>
      <rPr>
        <sz val="10"/>
        <color rgb="FF3F5FBF"/>
        <rFont val="ＭＳ Ｐゴシック"/>
        <family val="3"/>
        <charset val="128"/>
      </rPr>
      <t xml:space="preserve">
  * 利用規約画面でセキュリティ同意フラグを押下
  * </t>
    </r>
    <r>
      <rPr>
        <b/>
        <sz val="10"/>
        <color theme="3" tint="0.499984740745262"/>
        <rFont val="ＭＳ Ｐゴシック"/>
        <family val="3"/>
        <charset val="128"/>
      </rPr>
      <t>@author</t>
    </r>
    <r>
      <rPr>
        <sz val="10"/>
        <color rgb="FF3F5FBF"/>
        <rFont val="ＭＳ Ｐゴシック"/>
        <family val="3"/>
        <charset val="128"/>
      </rPr>
      <t xml:space="preserve"> 製造太郎  – Task.○○　</t>
    </r>
    <r>
      <rPr>
        <sz val="10"/>
        <color rgb="FFFF0000"/>
        <rFont val="ＭＳ Ｐゴシック"/>
        <family val="3"/>
        <charset val="128"/>
      </rPr>
      <t>←　作成者とタスク番号。クラスを新規作成した人が書く。</t>
    </r>
    <r>
      <rPr>
        <sz val="10"/>
        <color rgb="FF3F5FBF"/>
        <rFont val="ＭＳ Ｐゴシック"/>
        <family val="3"/>
        <charset val="128"/>
      </rPr>
      <t xml:space="preserve">
  * </t>
    </r>
    <r>
      <rPr>
        <b/>
        <sz val="10"/>
        <color theme="3" tint="0.499984740745262"/>
        <rFont val="ＭＳ Ｐゴシック"/>
        <family val="3"/>
        <charset val="128"/>
      </rPr>
      <t>@param</t>
    </r>
    <r>
      <rPr>
        <sz val="10"/>
        <color rgb="FF3F5FBF"/>
        <rFont val="ＭＳ Ｐゴシック"/>
        <family val="3"/>
        <charset val="128"/>
      </rPr>
      <t xml:space="preserve"> model モデル                 </t>
    </r>
    <r>
      <rPr>
        <sz val="10"/>
        <color rgb="FFFF0000"/>
        <rFont val="ＭＳ Ｐゴシック"/>
        <family val="3"/>
        <charset val="128"/>
      </rPr>
      <t>←　引数</t>
    </r>
    <r>
      <rPr>
        <sz val="10"/>
        <color rgb="FF3F5FBF"/>
        <rFont val="ＭＳ Ｐゴシック"/>
        <family val="3"/>
        <charset val="128"/>
      </rPr>
      <t xml:space="preserve">
  * </t>
    </r>
    <r>
      <rPr>
        <b/>
        <sz val="10"/>
        <color theme="3" tint="0.499984740745262"/>
        <rFont val="ＭＳ Ｐゴシック"/>
        <family val="3"/>
        <charset val="128"/>
      </rPr>
      <t>@return</t>
    </r>
    <r>
      <rPr>
        <sz val="10"/>
        <color rgb="FF3F5FBF"/>
        <rFont val="ＭＳ Ｐゴシック"/>
        <family val="3"/>
        <charset val="128"/>
      </rPr>
      <t xml:space="preserve"> パスワード変更画面      </t>
    </r>
    <r>
      <rPr>
        <sz val="10"/>
        <color rgb="FFFF0000"/>
        <rFont val="ＭＳ Ｐゴシック"/>
        <family val="3"/>
        <charset val="128"/>
      </rPr>
      <t>←　戻り値</t>
    </r>
    <r>
      <rPr>
        <sz val="10"/>
        <color rgb="FF3F5FBF"/>
        <rFont val="ＭＳ Ｐゴシック"/>
        <family val="3"/>
        <charset val="128"/>
      </rPr>
      <t xml:space="preserve">
  * /</t>
    </r>
    <rPh sb="17" eb="18">
      <t>タダ</t>
    </rPh>
    <rPh sb="20" eb="22">
      <t>キジュツ</t>
    </rPh>
    <rPh sb="187" eb="189">
      <t>ヒキスウ</t>
    </rPh>
    <rPh sb="219" eb="220">
      <t>モド</t>
    </rPh>
    <rPh sb="221" eb="222">
      <t>チ</t>
    </rPh>
    <phoneticPr fontId="7"/>
  </si>
  <si>
    <r>
      <t xml:space="preserve">定数化していないリテラルが存在していないこと
悪い例）”0002”がリテラル
</t>
    </r>
    <r>
      <rPr>
        <sz val="10"/>
        <color theme="3" tint="0.249977111117893"/>
        <rFont val="ＭＳ Ｐゴシック"/>
        <family val="3"/>
        <charset val="128"/>
      </rPr>
      <t xml:space="preserve">    if(LoginSessionDto.role.equals(“0002”){
       ・・・
    }</t>
    </r>
    <phoneticPr fontId="7"/>
  </si>
  <si>
    <t>ifのネストが3段階を超えていないこと</t>
    <rPh sb="8" eb="10">
      <t>ダンカイ</t>
    </rPh>
    <rPh sb="11" eb="12">
      <t>コ</t>
    </rPh>
    <phoneticPr fontId="7"/>
  </si>
  <si>
    <t>クラス名、フィールド名、メソッド名、ローカル変数名がキャメルケースで定義されていること</t>
    <rPh sb="3" eb="4">
      <t>メイ</t>
    </rPh>
    <rPh sb="10" eb="11">
      <t>メイ</t>
    </rPh>
    <rPh sb="16" eb="17">
      <t>メイ</t>
    </rPh>
    <rPh sb="24" eb="25">
      <t>メイ</t>
    </rPh>
    <phoneticPr fontId="7"/>
  </si>
  <si>
    <t>引数が多い場合は、適宜改行がされていること</t>
    <rPh sb="0" eb="2">
      <t>ヒキスウ</t>
    </rPh>
    <rPh sb="3" eb="4">
      <t>オオ</t>
    </rPh>
    <rPh sb="5" eb="7">
      <t>バアイ</t>
    </rPh>
    <rPh sb="9" eb="11">
      <t>テキギ</t>
    </rPh>
    <rPh sb="11" eb="13">
      <t>カイギョウ</t>
    </rPh>
    <phoneticPr fontId="7"/>
  </si>
  <si>
    <r>
      <t xml:space="preserve">クラスおよびインターフェースのJavaDocコメントが正しく記述されていること（Shift + Alt + J）
例）
</t>
    </r>
    <r>
      <rPr>
        <sz val="10"/>
        <color rgb="FF3F5FBF"/>
        <rFont val="ＭＳ Ｐゴシック"/>
        <family val="3"/>
        <charset val="128"/>
      </rPr>
      <t>/**　</t>
    </r>
    <r>
      <rPr>
        <sz val="10"/>
        <color rgb="FFFF0000"/>
        <rFont val="ＭＳ Ｐゴシック"/>
        <family val="3"/>
        <charset val="128"/>
      </rPr>
      <t>←　アスタリスクは2つ</t>
    </r>
    <r>
      <rPr>
        <sz val="10"/>
        <color rgb="FF3F5FBF"/>
        <rFont val="ＭＳ Ｐゴシック"/>
        <family val="3"/>
        <charset val="128"/>
      </rPr>
      <t xml:space="preserve">
  * ○○コントローラー
  * </t>
    </r>
    <r>
      <rPr>
        <b/>
        <sz val="10"/>
        <color theme="3" tint="0.499984740745262"/>
        <rFont val="ＭＳ Ｐゴシック"/>
        <family val="3"/>
        <charset val="128"/>
      </rPr>
      <t>@author</t>
    </r>
    <r>
      <rPr>
        <sz val="10"/>
        <color rgb="FF3F5FBF"/>
        <rFont val="ＭＳ Ｐゴシック"/>
        <family val="3"/>
        <charset val="128"/>
      </rPr>
      <t xml:space="preserve"> 製造太郎  – Task.○○　</t>
    </r>
    <r>
      <rPr>
        <sz val="10"/>
        <color rgb="FFFF0000"/>
        <rFont val="ＭＳ Ｐゴシック"/>
        <family val="3"/>
        <charset val="128"/>
      </rPr>
      <t>←　作成者とタスク番号。クラスを新規作成した人が書く。</t>
    </r>
    <r>
      <rPr>
        <sz val="10"/>
        <color rgb="FF3F5FBF"/>
        <rFont val="ＭＳ Ｐゴシック"/>
        <family val="3"/>
        <charset val="128"/>
      </rPr>
      <t xml:space="preserve">
  */</t>
    </r>
    <rPh sb="102" eb="106">
      <t>セイゾウタロウ</t>
    </rPh>
    <rPh sb="120" eb="123">
      <t>サクセイシャ</t>
    </rPh>
    <rPh sb="127" eb="129">
      <t>バンゴウ</t>
    </rPh>
    <rPh sb="134" eb="138">
      <t>シンキサクセイ</t>
    </rPh>
    <rPh sb="140" eb="141">
      <t>ヒト</t>
    </rPh>
    <rPh sb="142" eb="143">
      <t>カ</t>
    </rPh>
    <phoneticPr fontId="7"/>
  </si>
  <si>
    <t>書面</t>
  </si>
  <si>
    <t>PL○○</t>
    <phoneticPr fontId="7"/>
  </si>
  <si>
    <t>分類：ソースコードのCommit&amp;Push</t>
    <phoneticPr fontId="7"/>
  </si>
  <si>
    <t>detail.html
AttendanceController.java
StudentAttendanceService.java
TStudentAttendanceMapper.java
TStudentAttendanceMapper.xml</t>
    <phoneticPr fontId="7"/>
  </si>
  <si>
    <t>Task.25 勤怠管理画面の機能追加</t>
    <rPh sb="8" eb="12">
      <t>キンタイカンリ</t>
    </rPh>
    <rPh sb="12" eb="14">
      <t>ガメン</t>
    </rPh>
    <rPh sb="15" eb="19">
      <t>キノウツイカ</t>
    </rPh>
    <phoneticPr fontId="7"/>
  </si>
  <si>
    <t>OK</t>
  </si>
  <si>
    <t>不要</t>
  </si>
  <si>
    <t>メッセージ内容はHTMLにハードコーディング（メッセージ一覧.xlsxに記載がなかったため）</t>
    <rPh sb="5" eb="7">
      <t>ナイヨウ</t>
    </rPh>
    <rPh sb="36" eb="38">
      <t>キサイ</t>
    </rPh>
    <phoneticPr fontId="7"/>
  </si>
  <si>
    <t>新規作成なし</t>
    <rPh sb="0" eb="2">
      <t>シンキ</t>
    </rPh>
    <rPh sb="2" eb="4">
      <t>サクセイ</t>
    </rPh>
    <phoneticPr fontId="7"/>
  </si>
  <si>
    <t>三項演算子の追加なし</t>
    <rPh sb="0" eb="5">
      <t>サンコウエンザンシ</t>
    </rPh>
    <rPh sb="6" eb="8">
      <t>ツイカ</t>
    </rPh>
    <phoneticPr fontId="7"/>
  </si>
  <si>
    <t>分類：Dto,Form,Entityクラス</t>
    <phoneticPr fontId="7"/>
  </si>
  <si>
    <t>Dto,Form,Entityクラスの追加変更なし</t>
    <rPh sb="19" eb="23">
      <t>ツイカヘンコウ</t>
    </rPh>
    <phoneticPr fontId="7"/>
  </si>
  <si>
    <t>既存ソースで対応済み。追加変更なし。</t>
    <rPh sb="0" eb="2">
      <t>キソン</t>
    </rPh>
    <rPh sb="6" eb="9">
      <t>タイオウズ</t>
    </rPh>
    <rPh sb="11" eb="13">
      <t>ツイカ</t>
    </rPh>
    <rPh sb="13" eb="15">
      <t>ヘンコウ</t>
    </rPh>
    <phoneticPr fontId="7"/>
  </si>
  <si>
    <t>岩崎</t>
    <rPh sb="0" eb="2">
      <t>イワサキ</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</si>
</sst>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mm&quot;月&quot;dd&quot;日&quot;"/>
  </numFmts>
  <fonts count="15" x14ac:knownFonts="1">
    <font>
      <sz val="11"/>
      <color rgb="FF000000"/>
      <name val="ＭＳ Ｐゴシック"/>
      <family val="2"/>
      <charset val="128"/>
    </font>
    <font>
      <sz val="11"/>
      <name val="ＭＳ Ｐゴシック"/>
      <family val="3"/>
      <charset val="128"/>
    </font>
    <font>
      <sz val="12"/>
      <name val="ＭＳ Ｐゴシック"/>
      <family val="3"/>
      <charset val="128"/>
    </font>
    <font>
      <sz val="9"/>
      <color rgb="FF000000"/>
      <name val="ＭＳ Ｐゴシック"/>
      <family val="2"/>
      <charset val="128"/>
    </font>
    <font>
      <b/>
      <sz val="11"/>
      <color rgb="FF000000"/>
      <name val="ＭＳ Ｐゴシック"/>
      <family val="3"/>
      <charset val="128"/>
    </font>
    <font>
      <sz val="10"/>
      <color rgb="FF000000"/>
      <name val="ＭＳ Ｐゴシック"/>
      <family val="2"/>
      <charset val="128"/>
    </font>
    <font>
      <sz val="10"/>
      <name val="ＭＳ Ｐゴシック"/>
      <family val="3"/>
      <charset val="1"/>
    </font>
    <font>
      <sz val="6"/>
      <name val="ＭＳ Ｐゴシック"/>
      <family val="2"/>
      <charset val="128"/>
    </font>
    <font>
      <sz val="10"/>
      <color rgb="FF3F5FBF"/>
      <name val="ＭＳ Ｐゴシック"/>
      <family val="3"/>
      <charset val="128"/>
    </font>
    <font>
      <sz val="10"/>
      <color rgb="FFFF0000"/>
      <name val="ＭＳ Ｐゴシック"/>
      <family val="3"/>
      <charset val="128"/>
    </font>
    <font>
      <b/>
      <sz val="10"/>
      <color theme="3" tint="0.499984740745262"/>
      <name val="ＭＳ Ｐゴシック"/>
      <family val="3"/>
      <charset val="128"/>
    </font>
    <font>
      <sz val="10"/>
      <color theme="3" tint="0.249977111117893"/>
      <name val="ＭＳ Ｐゴシック"/>
      <family val="3"/>
      <charset val="128"/>
    </font>
    <font>
      <sz val="10"/>
      <color rgb="FF000000"/>
      <name val="ＭＳ Ｐゴシック"/>
      <family val="3"/>
      <charset val="128"/>
    </font>
    <font>
      <sz val="8"/>
      <color rgb="FF000000"/>
      <name val="ＭＳ Ｐゴシック"/>
      <family val="2"/>
      <charset val="128"/>
    </font>
    <font>
      <sz val="8"/>
      <name val="ＭＳ Ｐゴシック"/>
      <family val="3"/>
      <charset val="128"/>
    </font>
  </fonts>
  <fills count="5">
    <fill>
      <patternFill patternType="none"/>
    </fill>
    <fill>
      <patternFill patternType="gray125"/>
    </fill>
    <fill>
      <patternFill patternType="solid">
        <fgColor rgb="FFCCFFFF"/>
        <bgColor rgb="FFCCFFFF"/>
      </patternFill>
    </fill>
    <fill>
      <patternFill patternType="solid">
        <fgColor rgb="FFD9D9D9"/>
        <bgColor rgb="FFC0C0C0"/>
      </patternFill>
    </fill>
    <fill>
      <patternFill patternType="solid">
        <fgColor rgb="FFFFFFFF"/>
        <bgColor rgb="FFFFFFCC"/>
      </patternFill>
    </fill>
  </fills>
  <borders count="14">
    <border>
      <left/>
      <right/>
      <top/>
      <bottom/>
      <diagonal/>
    </border>
    <border>
      <left style="medium">
        <color auto="1"/>
      </left>
      <right style="thin">
        <color auto="1"/>
      </right>
      <top style="medium">
        <color auto="1"/>
      </top>
      <bottom style="thin">
        <color auto="1"/>
      </bottom>
      <diagonal/>
    </border>
    <border>
      <left style="thin">
        <color auto="1"/>
      </left>
      <right style="double">
        <color auto="1"/>
      </right>
      <top style="medium">
        <color auto="1"/>
      </top>
      <bottom style="thin">
        <color auto="1"/>
      </bottom>
      <diagonal/>
    </border>
    <border>
      <left style="double">
        <color auto="1"/>
      </left>
      <right style="double">
        <color auto="1"/>
      </right>
      <top style="medium">
        <color auto="1"/>
      </top>
      <bottom style="thin">
        <color auto="1"/>
      </bottom>
      <diagonal/>
    </border>
    <border>
      <left style="double">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double">
        <color auto="1"/>
      </right>
      <top style="thin">
        <color auto="1"/>
      </top>
      <bottom style="medium">
        <color auto="1"/>
      </bottom>
      <diagonal/>
    </border>
    <border>
      <left style="double">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s>
  <cellStyleXfs count="3">
    <xf numFmtId="0" fontId="0" fillId="0" borderId="0">
      <alignment vertical="center"/>
    </xf>
    <xf numFmtId="0" fontId="1" fillId="0" borderId="0"/>
    <xf numFmtId="0" fontId="1" fillId="0" borderId="0"/>
  </cellStyleXfs>
  <cellXfs count="42">
    <xf numFmtId="0" fontId="0" fillId="0" borderId="0" xfId="0">
      <alignment vertical="center"/>
    </xf>
    <xf numFmtId="0" fontId="1" fillId="2" borderId="1" xfId="1" applyFill="1" applyBorder="1" applyAlignment="1">
      <alignment horizontal="center" vertical="center"/>
    </xf>
    <xf numFmtId="0" fontId="1" fillId="2" borderId="2" xfId="1" applyFill="1" applyBorder="1" applyAlignment="1">
      <alignment horizontal="center" vertical="center"/>
    </xf>
    <xf numFmtId="0" fontId="2" fillId="2" borderId="3" xfId="1" applyFont="1" applyFill="1" applyBorder="1" applyAlignment="1">
      <alignment horizontal="center" vertical="center" wrapText="1"/>
    </xf>
    <xf numFmtId="0" fontId="1" fillId="2" borderId="4" xfId="1" applyFill="1" applyBorder="1" applyAlignment="1">
      <alignment horizontal="center" vertical="center"/>
    </xf>
    <xf numFmtId="0" fontId="1" fillId="2" borderId="5" xfId="1" applyFill="1" applyBorder="1" applyAlignment="1">
      <alignment horizontal="center" vertical="center"/>
    </xf>
    <xf numFmtId="0" fontId="1" fillId="2" borderId="6" xfId="1" applyFill="1" applyBorder="1" applyAlignment="1">
      <alignment horizontal="center" vertical="center"/>
    </xf>
    <xf numFmtId="0" fontId="3" fillId="0" borderId="7" xfId="1" applyFont="1" applyBorder="1" applyAlignment="1">
      <alignment horizontal="center" vertical="center" wrapText="1"/>
    </xf>
    <xf numFmtId="0" fontId="1" fillId="0" borderId="8" xfId="1" applyBorder="1" applyAlignment="1">
      <alignment horizontal="center" vertical="center" wrapText="1"/>
    </xf>
    <xf numFmtId="0" fontId="2" fillId="0" borderId="9" xfId="1" applyFont="1" applyBorder="1" applyAlignment="1">
      <alignment horizontal="center" vertical="center"/>
    </xf>
    <xf numFmtId="0" fontId="0" fillId="0" borderId="10" xfId="1" applyFont="1" applyBorder="1" applyAlignment="1">
      <alignment horizontal="center" vertical="center"/>
    </xf>
    <xf numFmtId="176" fontId="1" fillId="0" borderId="11" xfId="1" applyNumberFormat="1" applyBorder="1" applyAlignment="1">
      <alignment horizontal="center" vertical="center"/>
    </xf>
    <xf numFmtId="0" fontId="0" fillId="0" borderId="11" xfId="1" applyFont="1" applyBorder="1" applyAlignment="1">
      <alignment horizontal="center" vertical="center"/>
    </xf>
    <xf numFmtId="176" fontId="1" fillId="0" borderId="12" xfId="1" applyNumberFormat="1" applyBorder="1" applyAlignment="1">
      <alignment horizontal="center" vertical="center"/>
    </xf>
    <xf numFmtId="0" fontId="4" fillId="3" borderId="13" xfId="0" applyFont="1" applyFill="1" applyBorder="1" applyAlignment="1">
      <alignment horizontal="center" vertical="center"/>
    </xf>
    <xf numFmtId="0" fontId="13" fillId="0" borderId="13" xfId="0" applyFont="1" applyBorder="1" applyAlignment="1">
      <alignment vertical="center" wrapText="1"/>
    </xf>
    <xf numFmtId="0" fontId="5" fillId="0" borderId="13" xfId="0" applyFont="1" applyBorder="1">
      <alignment vertical="center"/>
    </xf>
    <xf numFmtId="176" fontId="5" fillId="0" borderId="13" xfId="0" applyNumberFormat="1" applyFont="1" applyBorder="1" applyAlignment="1">
      <alignment horizontal="center" vertical="center"/>
    </xf>
    <xf numFmtId="177" fontId="5" fillId="0" borderId="13" xfId="0" applyNumberFormat="1" applyFont="1" applyBorder="1" applyAlignment="1">
      <alignment horizontal="center" vertical="center"/>
    </xf>
    <xf numFmtId="20" fontId="5" fillId="0" borderId="13" xfId="0" applyNumberFormat="1" applyFont="1" applyBorder="1" applyAlignment="1">
      <alignment horizontal="center" vertical="center"/>
    </xf>
    <xf numFmtId="0" fontId="0" fillId="0" borderId="13" xfId="0" applyBorder="1" applyAlignment="1">
      <alignment horizontal="center" vertical="center"/>
    </xf>
    <xf numFmtId="0" fontId="4" fillId="3" borderId="13" xfId="0" applyFont="1" applyFill="1" applyBorder="1" applyAlignment="1">
      <alignment horizontal="left" vertical="center"/>
    </xf>
    <xf numFmtId="0" fontId="0" fillId="4" borderId="13" xfId="0" applyFill="1" applyBorder="1" applyAlignment="1">
      <alignment horizontal="center" vertical="center"/>
    </xf>
    <xf numFmtId="0" fontId="6" fillId="0" borderId="13" xfId="0" applyFont="1" applyBorder="1" applyAlignment="1">
      <alignment horizontal="left" vertical="top" wrapText="1"/>
    </xf>
    <xf numFmtId="0" fontId="5" fillId="0" borderId="13" xfId="0" applyFont="1" applyBorder="1" applyAlignment="1">
      <alignment horizontal="left" vertical="top" wrapText="1"/>
    </xf>
    <xf numFmtId="0" fontId="12" fillId="0" borderId="13" xfId="0" applyFont="1" applyBorder="1" applyAlignment="1">
      <alignment horizontal="left" vertical="top" wrapText="1"/>
    </xf>
    <xf numFmtId="0" fontId="1" fillId="2" borderId="1" xfId="2" applyFill="1" applyBorder="1" applyAlignment="1">
      <alignment horizontal="center" vertical="center"/>
    </xf>
    <xf numFmtId="0" fontId="1" fillId="2" borderId="2" xfId="2" applyFill="1" applyBorder="1" applyAlignment="1">
      <alignment horizontal="center" vertical="center"/>
    </xf>
    <xf numFmtId="0" fontId="2" fillId="2" borderId="3" xfId="2" applyFont="1" applyFill="1" applyBorder="1" applyAlignment="1">
      <alignment horizontal="center" vertical="center" wrapText="1"/>
    </xf>
    <xf numFmtId="0" fontId="1" fillId="2" borderId="4" xfId="2" applyFill="1" applyBorder="1" applyAlignment="1">
      <alignment horizontal="center" vertical="center"/>
    </xf>
    <xf numFmtId="0" fontId="1" fillId="2" borderId="5" xfId="2" applyFill="1" applyBorder="1" applyAlignment="1">
      <alignment horizontal="center" vertical="center"/>
    </xf>
    <xf numFmtId="0" fontId="1" fillId="2" borderId="6" xfId="2" applyFill="1" applyBorder="1" applyAlignment="1">
      <alignment horizontal="center" vertical="center"/>
    </xf>
    <xf numFmtId="0" fontId="3" fillId="0" borderId="7" xfId="2" applyFont="1" applyBorder="1" applyAlignment="1">
      <alignment horizontal="center" vertical="center" wrapText="1"/>
    </xf>
    <xf numFmtId="0" fontId="1" fillId="0" borderId="8" xfId="2" applyBorder="1" applyAlignment="1">
      <alignment horizontal="center" vertical="center" wrapText="1"/>
    </xf>
    <xf numFmtId="0" fontId="0" fillId="0" borderId="10" xfId="2" applyFont="1" applyBorder="1" applyAlignment="1">
      <alignment horizontal="center" vertical="center"/>
    </xf>
    <xf numFmtId="176" fontId="1" fillId="0" borderId="11" xfId="2" applyNumberFormat="1" applyBorder="1" applyAlignment="1">
      <alignment horizontal="center" vertical="center"/>
    </xf>
    <xf numFmtId="0" fontId="0" fillId="0" borderId="11" xfId="2" applyFont="1" applyBorder="1" applyAlignment="1">
      <alignment horizontal="center" vertical="center"/>
    </xf>
    <xf numFmtId="176" fontId="1" fillId="0" borderId="12" xfId="2" applyNumberFormat="1" applyBorder="1" applyAlignment="1">
      <alignment horizontal="center" vertical="center"/>
    </xf>
    <xf numFmtId="0" fontId="0" fillId="0" borderId="13" xfId="0" applyBorder="1">
      <alignment vertical="center"/>
    </xf>
    <xf numFmtId="176" fontId="5" fillId="0" borderId="13" xfId="0" applyNumberFormat="1" applyFont="1" applyBorder="1" applyAlignment="1">
      <alignment horizontal="left" vertical="center"/>
    </xf>
    <xf numFmtId="20" fontId="5" fillId="0" borderId="13" xfId="0" applyNumberFormat="1" applyFont="1" applyBorder="1" applyAlignment="1">
      <alignment horizontal="left" vertical="center"/>
    </xf>
    <xf numFmtId="0" fontId="14" fillId="0" borderId="9" xfId="2" applyFont="1" applyBorder="1" applyAlignment="1">
      <alignment horizontal="center" vertical="center" wrapText="1"/>
    </xf>
  </cellXfs>
  <cellStyles count="3">
    <cellStyle name="Excel Built-in Explanatory Text" xfId="2" xr:uid="{00000000-0005-0000-0000-000007000000}"/>
    <cellStyle name="標準" xfId="0" builtinId="0"/>
    <cellStyle name="標準_開発計画_110720_v11" xfId="1" xr:uid="{00000000-0005-0000-0000-000006000000}"/>
  </cellStyles>
  <dxfs count="21">
    <dxf>
      <fill>
        <patternFill>
          <bgColor rgb="FF808080"/>
        </patternFill>
      </fill>
    </dxf>
    <dxf>
      <fill>
        <patternFill>
          <bgColor rgb="FFA6A6A6"/>
        </patternFill>
      </fill>
    </dxf>
    <dxf>
      <fill>
        <patternFill>
          <bgColor rgb="FFFAC09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
      <fill>
        <patternFill>
          <bgColor rgb="FFFAC090"/>
        </patternFill>
      </fill>
    </dxf>
    <dxf>
      <fill>
        <patternFill>
          <bgColor rgb="FFA6A6A6"/>
        </patternFill>
      </fill>
    </dxf>
    <dxf>
      <fill>
        <patternFill>
          <bgColor rgb="FF80808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7F9FB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3F5FBF"/>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56</xdr:col>
      <xdr:colOff>23040</xdr:colOff>
      <xdr:row>8</xdr:row>
      <xdr:rowOff>136080</xdr:rowOff>
    </xdr:from>
    <xdr:to>
      <xdr:col>96</xdr:col>
      <xdr:colOff>138240</xdr:colOff>
      <xdr:row>14</xdr:row>
      <xdr:rowOff>672480</xdr:rowOff>
    </xdr:to>
    <xdr:sp macro="" textlink="">
      <xdr:nvSpPr>
        <xdr:cNvPr id="2" name="シェイプ 1">
          <a:extLst>
            <a:ext uri="{FF2B5EF4-FFF2-40B4-BE49-F238E27FC236}">
              <a16:creationId xmlns:a16="http://schemas.microsoft.com/office/drawing/2014/main" id="{00000000-0008-0000-0000-000002000000}"/>
            </a:ext>
          </a:extLst>
        </xdr:cNvPr>
        <xdr:cNvSpPr/>
      </xdr:nvSpPr>
      <xdr:spPr>
        <a:xfrm>
          <a:off x="10442160" y="1511640"/>
          <a:ext cx="7557480" cy="2585880"/>
        </a:xfrm>
        <a:prstGeom prst="rect">
          <a:avLst/>
        </a:prstGeom>
        <a:solidFill>
          <a:srgbClr val="729FCF"/>
        </a:solidFill>
        <a:ln w="0">
          <a:solidFill>
            <a:srgbClr val="3465A4"/>
          </a:solidFill>
        </a:ln>
      </xdr:spPr>
      <xdr:style>
        <a:lnRef idx="0">
          <a:scrgbClr r="0" g="0" b="0"/>
        </a:lnRef>
        <a:fillRef idx="0">
          <a:scrgbClr r="0" g="0" b="0"/>
        </a:fillRef>
        <a:effectRef idx="0">
          <a:scrgbClr r="0" g="0" b="0"/>
        </a:effectRef>
        <a:fontRef idx="minor"/>
      </xdr:style>
      <xdr:txBody>
        <a:bodyPr wrap="none" lIns="0" tIns="0" rIns="0" bIns="0" anchor="t">
          <a:noAutofit/>
        </a:bodyPr>
        <a:lstStyle/>
        <a:p>
          <a:pPr>
            <a:lnSpc>
              <a:spcPct val="100000"/>
            </a:lnSpc>
          </a:pPr>
          <a:r>
            <a:rPr lang="ja-JP" sz="1200" b="0" strike="noStrike" spc="-1">
              <a:latin typeface="游明朝"/>
            </a:rPr>
            <a:t>【レビュー前セルフチェック記録表】</a:t>
          </a:r>
          <a:endParaRPr lang="en-US" sz="1200" b="0" strike="noStrike" spc="-1">
            <a:latin typeface="游明朝"/>
          </a:endParaRPr>
        </a:p>
        <a:p>
          <a:pPr>
            <a:lnSpc>
              <a:spcPct val="100000"/>
            </a:lnSpc>
          </a:pPr>
          <a:r>
            <a:rPr lang="en-US" sz="1200" b="0" strike="noStrike" spc="-1">
              <a:latin typeface="游明朝"/>
            </a:rPr>
            <a:t>※</a:t>
          </a:r>
          <a:r>
            <a:rPr lang="ja-JP" sz="1200" b="0" strike="noStrike" spc="-1">
              <a:latin typeface="游明朝"/>
            </a:rPr>
            <a:t>レビュー前セルフチェックの内容は、レビューを依頼する成果物として</a:t>
          </a:r>
          <a:endParaRPr lang="en-US" sz="1200" b="0" strike="noStrike" spc="-1">
            <a:latin typeface="游明朝"/>
          </a:endParaRPr>
        </a:p>
        <a:p>
          <a:pPr>
            <a:lnSpc>
              <a:spcPct val="100000"/>
            </a:lnSpc>
          </a:pPr>
          <a:r>
            <a:rPr lang="ja-JP" sz="1200" b="0" strike="noStrike" spc="-1">
              <a:latin typeface="游明朝"/>
            </a:rPr>
            <a:t>　必要最低限出来ていないといけない内容です。</a:t>
          </a:r>
          <a:br/>
          <a:r>
            <a:rPr lang="en-US" sz="1200" b="0" strike="noStrike" spc="-1">
              <a:latin typeface="游明朝"/>
            </a:rPr>
            <a:t>※技術力あるなしに関わらず誰でもチェックできる内容です。</a:t>
          </a:r>
        </a:p>
        <a:p>
          <a:pPr>
            <a:lnSpc>
              <a:spcPct val="100000"/>
            </a:lnSpc>
          </a:pPr>
          <a:r>
            <a:rPr lang="en-US" sz="1200" b="0" strike="noStrike" spc="-1">
              <a:latin typeface="游明朝"/>
            </a:rPr>
            <a:t>※</a:t>
          </a:r>
          <a:r>
            <a:rPr lang="ja-JP" sz="1200" b="0" strike="noStrike" spc="-1">
              <a:latin typeface="游明朝"/>
            </a:rPr>
            <a:t>セルフチェック</a:t>
          </a:r>
          <a:r>
            <a:rPr lang="en-US" sz="1200" b="0" strike="noStrike" spc="-1">
              <a:latin typeface="游明朝"/>
            </a:rPr>
            <a:t>(</a:t>
          </a:r>
          <a:r>
            <a:rPr lang="ja-JP" sz="1200" b="0" strike="noStrike" spc="-1">
              <a:latin typeface="游明朝"/>
            </a:rPr>
            <a:t>記載されていることの確認</a:t>
          </a:r>
          <a:r>
            <a:rPr lang="en-US" sz="1200" b="0" strike="noStrike" spc="-1">
              <a:latin typeface="游明朝"/>
            </a:rPr>
            <a:t>)</a:t>
          </a:r>
          <a:r>
            <a:rPr lang="ja-JP" sz="1200" b="0" strike="noStrike" spc="-1">
              <a:latin typeface="游明朝"/>
            </a:rPr>
            <a:t>すらできていないものは成果物の中身は見てもらえません。</a:t>
          </a:r>
          <a:endParaRPr lang="en-US" sz="1200" b="0" strike="noStrike" spc="-1">
            <a:latin typeface="游明朝"/>
          </a:endParaRPr>
        </a:p>
        <a:p>
          <a:pPr>
            <a:lnSpc>
              <a:spcPct val="100000"/>
            </a:lnSpc>
          </a:pPr>
          <a:r>
            <a:rPr lang="en-US" sz="1200" b="0" strike="noStrike" spc="-1">
              <a:latin typeface="游明朝"/>
            </a:rPr>
            <a:t>※</a:t>
          </a:r>
          <a:r>
            <a:rPr lang="ja-JP" sz="1200" b="0" strike="noStrike" spc="-1">
              <a:latin typeface="游明朝"/>
            </a:rPr>
            <a:t>技術者、社会人として必要最低限求められる内容ですので、</a:t>
          </a:r>
          <a:endParaRPr lang="en-US" sz="1200" b="0" strike="noStrike" spc="-1">
            <a:latin typeface="游明朝"/>
          </a:endParaRPr>
        </a:p>
        <a:p>
          <a:pPr>
            <a:lnSpc>
              <a:spcPct val="100000"/>
            </a:lnSpc>
          </a:pPr>
          <a:r>
            <a:rPr lang="ja-JP" sz="1200" b="0" strike="noStrike" spc="-1">
              <a:latin typeface="游明朝"/>
            </a:rPr>
            <a:t>　きちんとチェックした上でレビュー依頼を行ってください。</a:t>
          </a:r>
          <a:br/>
          <a:r>
            <a:rPr lang="en-US" sz="1200" b="0" strike="noStrike" spc="-1">
              <a:latin typeface="游明朝"/>
            </a:rPr>
            <a:t> </a:t>
          </a:r>
        </a:p>
        <a:p>
          <a:pPr>
            <a:lnSpc>
              <a:spcPct val="100000"/>
            </a:lnSpc>
          </a:pPr>
          <a:r>
            <a:rPr lang="en-US" sz="1200" b="0" strike="noStrike" spc="-1">
              <a:latin typeface="游明朝"/>
            </a:rPr>
            <a:t> </a:t>
          </a:r>
          <a:r>
            <a:rPr lang="ja-JP" sz="1200" b="0" strike="noStrike" spc="-1">
              <a:latin typeface="游明朝"/>
            </a:rPr>
            <a:t>記入箇所：作成者、作成日、画面名、機能名、</a:t>
          </a:r>
          <a:endParaRPr lang="en-US" sz="1200" b="0" strike="noStrike" spc="-1">
            <a:latin typeface="游明朝"/>
          </a:endParaRPr>
        </a:p>
        <a:p>
          <a:pPr>
            <a:lnSpc>
              <a:spcPct val="100000"/>
            </a:lnSpc>
          </a:pPr>
          <a:r>
            <a:rPr lang="ja-JP" sz="1200" b="0" strike="noStrike" spc="-1">
              <a:latin typeface="游明朝"/>
            </a:rPr>
            <a:t>　　　　　確認日時、確認者、確認、判定、シート名を記載すること。</a:t>
          </a:r>
          <a:endParaRPr lang="en-US" sz="1200" b="0" strike="noStrike" spc="-1">
            <a:latin typeface="游明朝"/>
          </a:endParaRPr>
        </a:p>
        <a:p>
          <a:pPr>
            <a:lnSpc>
              <a:spcPct val="100000"/>
            </a:lnSpc>
          </a:pPr>
          <a:r>
            <a:rPr lang="en-US" sz="1200" b="0" strike="noStrike" spc="-1">
              <a:latin typeface="游明朝"/>
            </a:rPr>
            <a:t> </a:t>
          </a:r>
        </a:p>
        <a:p>
          <a:pPr>
            <a:lnSpc>
              <a:spcPct val="100000"/>
            </a:lnSpc>
          </a:pPr>
          <a:r>
            <a:rPr lang="en-US" sz="1200" b="0" strike="noStrike" spc="-1">
              <a:latin typeface="游明朝"/>
            </a:rPr>
            <a:t>▼</a:t>
          </a:r>
          <a:r>
            <a:rPr lang="ja-JP" sz="1200" b="0" strike="noStrike" spc="-1">
              <a:latin typeface="游明朝"/>
            </a:rPr>
            <a:t>確認欄</a:t>
          </a:r>
          <a:br/>
          <a:r>
            <a:rPr lang="ja-JP" sz="1200" b="0" strike="noStrike" spc="-1">
              <a:latin typeface="游明朝"/>
            </a:rPr>
            <a:t>・レビュー提出前に必ず確認し、成果物に対して対応できていれば、確認欄に</a:t>
          </a:r>
          <a:r>
            <a:rPr lang="en-US" sz="1200" b="0" strike="noStrike" spc="-1">
              <a:latin typeface="游明朝"/>
            </a:rPr>
            <a:t>OK</a:t>
          </a:r>
          <a:r>
            <a:rPr lang="ja-JP" sz="1200" b="0" strike="noStrike" spc="-1">
              <a:latin typeface="游明朝"/>
            </a:rPr>
            <a:t>と入力。</a:t>
          </a:r>
          <a:endParaRPr lang="en-US" sz="1200" b="0" strike="noStrike" spc="-1">
            <a:latin typeface="游明朝"/>
          </a:endParaRPr>
        </a:p>
        <a:p>
          <a:pPr>
            <a:lnSpc>
              <a:spcPct val="100000"/>
            </a:lnSpc>
          </a:pPr>
          <a:r>
            <a:rPr lang="ja-JP" sz="1200" b="0" strike="noStrike" spc="-1">
              <a:latin typeface="游明朝"/>
            </a:rPr>
            <a:t>・成果物として対象外のものは確認欄に対象外と入力。</a:t>
          </a:r>
          <a:br/>
          <a:r>
            <a:rPr lang="en-US" sz="1200" b="0" strike="noStrike" spc="-1">
              <a:latin typeface="游明朝"/>
            </a:rPr>
            <a:t> </a:t>
          </a:r>
        </a:p>
        <a:p>
          <a:pPr>
            <a:lnSpc>
              <a:spcPct val="100000"/>
            </a:lnSpc>
          </a:pPr>
          <a:r>
            <a:rPr lang="en-US" sz="1200" b="0" strike="noStrike" spc="-1">
              <a:latin typeface="游明朝"/>
            </a:rPr>
            <a:t> </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C61"/>
  <sheetViews>
    <sheetView showGridLines="0" tabSelected="1" view="pageBreakPreview" zoomScaleNormal="100" workbookViewId="0"/>
  </sheetViews>
  <sheetFormatPr defaultColWidth="2.69140625" defaultRowHeight="13.3" x14ac:dyDescent="0.25"/>
  <cols>
    <col min="16384" max="16384" width="11.69140625" customWidth="1"/>
  </cols>
  <sheetData>
    <row r="1" spans="1:55" ht="13.5" customHeight="1" x14ac:dyDescent="0.25"/>
    <row r="2" spans="1:55" ht="13.5" customHeight="1" x14ac:dyDescent="0.25">
      <c r="A2" s="1" t="s">
        <v>0</v>
      </c>
      <c r="B2" s="1"/>
      <c r="C2" s="1"/>
      <c r="D2" s="1"/>
      <c r="E2" s="1"/>
      <c r="F2" s="1"/>
      <c r="G2" s="1"/>
      <c r="H2" s="1"/>
      <c r="I2" s="1"/>
      <c r="J2" s="2" t="s">
        <v>1</v>
      </c>
      <c r="K2" s="2"/>
      <c r="L2" s="2"/>
      <c r="M2" s="2"/>
      <c r="N2" s="2"/>
      <c r="O2" s="2"/>
      <c r="P2" s="2"/>
      <c r="Q2" s="2"/>
      <c r="R2" s="3" t="s">
        <v>2</v>
      </c>
      <c r="S2" s="3"/>
      <c r="T2" s="3"/>
      <c r="U2" s="3"/>
      <c r="V2" s="3"/>
      <c r="W2" s="3"/>
      <c r="X2" s="3"/>
      <c r="Y2" s="3"/>
      <c r="Z2" s="3"/>
      <c r="AA2" s="3"/>
      <c r="AB2" s="3"/>
      <c r="AC2" s="3"/>
      <c r="AD2" s="3"/>
      <c r="AE2" s="3"/>
      <c r="AF2" s="3"/>
      <c r="AG2" s="3"/>
      <c r="AH2" s="3"/>
      <c r="AI2" s="3"/>
      <c r="AJ2" s="4" t="s">
        <v>3</v>
      </c>
      <c r="AK2" s="4"/>
      <c r="AL2" s="4"/>
      <c r="AM2" s="4"/>
      <c r="AN2" s="4"/>
      <c r="AO2" s="5" t="s">
        <v>4</v>
      </c>
      <c r="AP2" s="5"/>
      <c r="AQ2" s="5"/>
      <c r="AR2" s="5"/>
      <c r="AS2" s="5"/>
      <c r="AT2" s="5" t="s">
        <v>5</v>
      </c>
      <c r="AU2" s="5"/>
      <c r="AV2" s="5"/>
      <c r="AW2" s="5"/>
      <c r="AX2" s="5"/>
      <c r="AY2" s="6" t="s">
        <v>6</v>
      </c>
      <c r="AZ2" s="6"/>
      <c r="BA2" s="6"/>
      <c r="BB2" s="6"/>
      <c r="BC2" s="6"/>
    </row>
    <row r="3" spans="1:55" ht="13.5" customHeight="1" x14ac:dyDescent="0.25">
      <c r="A3" s="7" t="s">
        <v>7</v>
      </c>
      <c r="B3" s="7"/>
      <c r="C3" s="7"/>
      <c r="D3" s="7"/>
      <c r="E3" s="7"/>
      <c r="F3" s="7"/>
      <c r="G3" s="7"/>
      <c r="H3" s="7"/>
      <c r="I3" s="7"/>
      <c r="J3" s="8" t="s">
        <v>8</v>
      </c>
      <c r="K3" s="8"/>
      <c r="L3" s="8"/>
      <c r="M3" s="8"/>
      <c r="N3" s="8"/>
      <c r="O3" s="8"/>
      <c r="P3" s="8"/>
      <c r="Q3" s="8"/>
      <c r="R3" s="9" t="s">
        <v>9</v>
      </c>
      <c r="S3" s="9"/>
      <c r="T3" s="9"/>
      <c r="U3" s="9"/>
      <c r="V3" s="9"/>
      <c r="W3" s="9"/>
      <c r="X3" s="9"/>
      <c r="Y3" s="9"/>
      <c r="Z3" s="9"/>
      <c r="AA3" s="9"/>
      <c r="AB3" s="9"/>
      <c r="AC3" s="9"/>
      <c r="AD3" s="9"/>
      <c r="AE3" s="9"/>
      <c r="AF3" s="9"/>
      <c r="AG3" s="9"/>
      <c r="AH3" s="9"/>
      <c r="AI3" s="9"/>
      <c r="AJ3" s="10"/>
      <c r="AK3" s="10"/>
      <c r="AL3" s="10"/>
      <c r="AM3" s="10"/>
      <c r="AN3" s="10"/>
      <c r="AO3" s="11"/>
      <c r="AP3" s="11"/>
      <c r="AQ3" s="11"/>
      <c r="AR3" s="11"/>
      <c r="AS3" s="11"/>
      <c r="AT3" s="12"/>
      <c r="AU3" s="12"/>
      <c r="AV3" s="12"/>
      <c r="AW3" s="12"/>
      <c r="AX3" s="12"/>
      <c r="AY3" s="13"/>
      <c r="AZ3" s="13"/>
      <c r="BA3" s="13"/>
      <c r="BB3" s="13"/>
      <c r="BC3" s="13"/>
    </row>
    <row r="4" spans="1:55" ht="13.5" customHeight="1" x14ac:dyDescent="0.25">
      <c r="A4" s="7"/>
      <c r="B4" s="7"/>
      <c r="C4" s="7"/>
      <c r="D4" s="7"/>
      <c r="E4" s="7"/>
      <c r="F4" s="7"/>
      <c r="G4" s="7"/>
      <c r="H4" s="7"/>
      <c r="I4" s="7"/>
      <c r="J4" s="8"/>
      <c r="K4" s="8"/>
      <c r="L4" s="8"/>
      <c r="M4" s="8"/>
      <c r="N4" s="8"/>
      <c r="O4" s="8"/>
      <c r="P4" s="8"/>
      <c r="Q4" s="8"/>
      <c r="R4" s="9"/>
      <c r="S4" s="9"/>
      <c r="T4" s="9"/>
      <c r="U4" s="9"/>
      <c r="V4" s="9"/>
      <c r="W4" s="9"/>
      <c r="X4" s="9"/>
      <c r="Y4" s="9"/>
      <c r="Z4" s="9"/>
      <c r="AA4" s="9"/>
      <c r="AB4" s="9"/>
      <c r="AC4" s="9"/>
      <c r="AD4" s="9"/>
      <c r="AE4" s="9"/>
      <c r="AF4" s="9"/>
      <c r="AG4" s="9"/>
      <c r="AH4" s="9"/>
      <c r="AI4" s="9"/>
      <c r="AJ4" s="10"/>
      <c r="AK4" s="10"/>
      <c r="AL4" s="10"/>
      <c r="AM4" s="10"/>
      <c r="AN4" s="10"/>
      <c r="AO4" s="11"/>
      <c r="AP4" s="11"/>
      <c r="AQ4" s="11"/>
      <c r="AR4" s="11"/>
      <c r="AS4" s="11"/>
      <c r="AT4" s="12"/>
      <c r="AU4" s="12"/>
      <c r="AV4" s="12"/>
      <c r="AW4" s="12"/>
      <c r="AX4" s="12"/>
      <c r="AY4" s="13"/>
      <c r="AZ4" s="13"/>
      <c r="BA4" s="13"/>
      <c r="BB4" s="13"/>
      <c r="BC4" s="13"/>
    </row>
    <row r="6" spans="1:55" ht="18.649999999999999" customHeight="1" x14ac:dyDescent="0.25">
      <c r="A6" s="14" t="s">
        <v>10</v>
      </c>
      <c r="B6" s="14"/>
      <c r="C6" s="14"/>
      <c r="D6" s="14"/>
      <c r="E6" s="15" t="s">
        <v>73</v>
      </c>
      <c r="F6" s="15"/>
      <c r="G6" s="15"/>
      <c r="H6" s="15"/>
      <c r="I6" s="15"/>
      <c r="J6" s="15"/>
      <c r="K6" s="15"/>
      <c r="L6" s="15"/>
      <c r="M6" s="15"/>
      <c r="N6" s="15"/>
      <c r="O6" s="14" t="s">
        <v>11</v>
      </c>
      <c r="P6" s="14"/>
      <c r="Q6" s="14"/>
      <c r="R6" s="14"/>
      <c r="S6" s="16" t="s">
        <v>74</v>
      </c>
      <c r="T6" s="16"/>
      <c r="U6" s="16"/>
      <c r="V6" s="16"/>
      <c r="W6" s="16"/>
      <c r="X6" s="16"/>
      <c r="Y6" s="16"/>
      <c r="Z6" s="16"/>
      <c r="AA6" s="16"/>
      <c r="AB6" s="16"/>
      <c r="AC6" s="14" t="s">
        <v>12</v>
      </c>
      <c r="AD6" s="14"/>
      <c r="AE6" s="14"/>
      <c r="AF6" s="14"/>
      <c r="AG6" s="14"/>
      <c r="AH6" s="14"/>
      <c r="AI6" s="17"/>
      <c r="AJ6" s="17"/>
      <c r="AK6" s="17"/>
      <c r="AL6" s="17"/>
      <c r="AM6" s="17"/>
      <c r="AN6" s="14" t="s">
        <v>13</v>
      </c>
      <c r="AO6" s="14"/>
      <c r="AP6" s="14"/>
      <c r="AQ6" s="14"/>
      <c r="AR6" s="14"/>
      <c r="AS6" s="14"/>
      <c r="AT6" s="18"/>
      <c r="AU6" s="18"/>
      <c r="AV6" s="18"/>
      <c r="AW6" s="18"/>
      <c r="AX6" s="18"/>
    </row>
    <row r="7" spans="1:55" ht="18.649999999999999" customHeight="1" x14ac:dyDescent="0.25">
      <c r="A7" s="14"/>
      <c r="B7" s="14"/>
      <c r="C7" s="14"/>
      <c r="D7" s="14"/>
      <c r="E7" s="15"/>
      <c r="F7" s="15"/>
      <c r="G7" s="15"/>
      <c r="H7" s="15"/>
      <c r="I7" s="15"/>
      <c r="J7" s="15"/>
      <c r="K7" s="15"/>
      <c r="L7" s="15"/>
      <c r="M7" s="15"/>
      <c r="N7" s="15"/>
      <c r="O7" s="14"/>
      <c r="P7" s="14"/>
      <c r="Q7" s="14"/>
      <c r="R7" s="14"/>
      <c r="S7" s="16"/>
      <c r="T7" s="16"/>
      <c r="U7" s="16"/>
      <c r="V7" s="16"/>
      <c r="W7" s="16"/>
      <c r="X7" s="16"/>
      <c r="Y7" s="16"/>
      <c r="Z7" s="16"/>
      <c r="AA7" s="16"/>
      <c r="AB7" s="16"/>
      <c r="AC7" s="14" t="s">
        <v>14</v>
      </c>
      <c r="AD7" s="14"/>
      <c r="AE7" s="14"/>
      <c r="AF7" s="14"/>
      <c r="AG7" s="14"/>
      <c r="AH7" s="14"/>
      <c r="AI7" s="19"/>
      <c r="AJ7" s="19"/>
      <c r="AK7" s="19"/>
      <c r="AL7" s="19"/>
      <c r="AM7" s="19"/>
      <c r="AN7" s="14" t="s">
        <v>15</v>
      </c>
      <c r="AO7" s="14"/>
      <c r="AP7" s="14"/>
      <c r="AQ7" s="14"/>
      <c r="AR7" s="14"/>
      <c r="AS7" s="14"/>
      <c r="AT7" s="19"/>
      <c r="AU7" s="19"/>
      <c r="AV7" s="19"/>
      <c r="AW7" s="19"/>
      <c r="AX7" s="19"/>
    </row>
    <row r="8" spans="1:55" ht="18.649999999999999" customHeight="1" x14ac:dyDescent="0.25">
      <c r="A8" s="14"/>
      <c r="B8" s="14"/>
      <c r="C8" s="14"/>
      <c r="D8" s="14"/>
      <c r="E8" s="15"/>
      <c r="F8" s="15"/>
      <c r="G8" s="15"/>
      <c r="H8" s="15"/>
      <c r="I8" s="15"/>
      <c r="J8" s="15"/>
      <c r="K8" s="15"/>
      <c r="L8" s="15"/>
      <c r="M8" s="15"/>
      <c r="N8" s="15"/>
      <c r="O8" s="14"/>
      <c r="P8" s="14"/>
      <c r="Q8" s="14"/>
      <c r="R8" s="14"/>
      <c r="S8" s="16"/>
      <c r="T8" s="16"/>
      <c r="U8" s="16"/>
      <c r="V8" s="16"/>
      <c r="W8" s="16"/>
      <c r="X8" s="16"/>
      <c r="Y8" s="16"/>
      <c r="Z8" s="16"/>
      <c r="AA8" s="16"/>
      <c r="AB8" s="16"/>
      <c r="AC8" s="14" t="s">
        <v>16</v>
      </c>
      <c r="AD8" s="14"/>
      <c r="AE8" s="14"/>
      <c r="AF8" s="14"/>
      <c r="AG8" s="14"/>
      <c r="AH8" s="14"/>
      <c r="AI8" s="20"/>
      <c r="AJ8" s="20"/>
      <c r="AK8" s="20"/>
      <c r="AL8" s="20"/>
      <c r="AM8" s="20"/>
      <c r="AN8" s="14" t="s">
        <v>16</v>
      </c>
      <c r="AO8" s="14"/>
      <c r="AP8" s="14"/>
      <c r="AQ8" s="14"/>
      <c r="AR8" s="14"/>
      <c r="AS8" s="14"/>
      <c r="AT8" s="20"/>
      <c r="AU8" s="20"/>
      <c r="AV8" s="20"/>
      <c r="AW8" s="20"/>
      <c r="AX8" s="20"/>
    </row>
    <row r="10" spans="1:55" x14ac:dyDescent="0.25">
      <c r="A10" s="21" t="s">
        <v>17</v>
      </c>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1"/>
      <c r="AI10" s="21"/>
      <c r="AJ10" s="21"/>
      <c r="AK10" s="21"/>
      <c r="AL10" s="21"/>
      <c r="AM10" s="21"/>
      <c r="AN10" s="21"/>
      <c r="AO10" s="21"/>
      <c r="AP10" s="21"/>
      <c r="AQ10" s="21"/>
      <c r="AR10" s="21"/>
      <c r="AS10" s="21"/>
      <c r="AT10" s="21"/>
      <c r="AU10" s="21"/>
      <c r="AV10" s="21"/>
      <c r="AW10" s="21"/>
      <c r="AX10" s="21"/>
      <c r="AY10" s="21"/>
      <c r="AZ10" s="21"/>
      <c r="BA10" s="21"/>
      <c r="BB10" s="21"/>
      <c r="BC10" s="21"/>
    </row>
    <row r="11" spans="1:55" x14ac:dyDescent="0.25">
      <c r="A11" s="14" t="s">
        <v>18</v>
      </c>
      <c r="B11" s="14"/>
      <c r="C11" s="14" t="s">
        <v>19</v>
      </c>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t="s">
        <v>20</v>
      </c>
      <c r="AK11" s="14"/>
      <c r="AL11" s="14"/>
      <c r="AM11" s="14"/>
      <c r="AN11" s="14" t="s">
        <v>21</v>
      </c>
      <c r="AO11" s="14"/>
      <c r="AP11" s="14"/>
      <c r="AQ11" s="14"/>
      <c r="AR11" s="14"/>
      <c r="AS11" s="14"/>
      <c r="AT11" s="14"/>
      <c r="AU11" s="14"/>
      <c r="AV11" s="14"/>
      <c r="AW11" s="14"/>
      <c r="AX11" s="14"/>
      <c r="AY11" s="14"/>
      <c r="AZ11" s="14"/>
      <c r="BA11" s="14"/>
      <c r="BB11" s="14"/>
      <c r="BC11" s="14"/>
    </row>
    <row r="12" spans="1:55" ht="12.75" customHeight="1" x14ac:dyDescent="0.25">
      <c r="A12" s="22">
        <f t="shared" ref="A12:A27" si="0">ROW()-11</f>
        <v>1</v>
      </c>
      <c r="B12" s="22"/>
      <c r="C12" s="23" t="s">
        <v>22</v>
      </c>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0" t="s">
        <v>75</v>
      </c>
      <c r="AK12" s="20"/>
      <c r="AL12" s="20"/>
      <c r="AM12" s="20"/>
      <c r="AN12" s="24"/>
      <c r="AO12" s="24"/>
      <c r="AP12" s="24"/>
      <c r="AQ12" s="24"/>
      <c r="AR12" s="24"/>
      <c r="AS12" s="24"/>
      <c r="AT12" s="24"/>
      <c r="AU12" s="24"/>
      <c r="AV12" s="24"/>
      <c r="AW12" s="24"/>
      <c r="AX12" s="24"/>
      <c r="AY12" s="24"/>
      <c r="AZ12" s="24"/>
      <c r="BA12" s="24"/>
      <c r="BB12" s="24"/>
      <c r="BC12" s="24"/>
    </row>
    <row r="13" spans="1:55" ht="12.75" customHeight="1" x14ac:dyDescent="0.25">
      <c r="A13" s="22">
        <f t="shared" si="0"/>
        <v>2</v>
      </c>
      <c r="B13" s="22"/>
      <c r="C13" s="24" t="s">
        <v>23</v>
      </c>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0" t="s">
        <v>75</v>
      </c>
      <c r="AK13" s="20"/>
      <c r="AL13" s="20"/>
      <c r="AM13" s="20"/>
      <c r="AN13" s="24"/>
      <c r="AO13" s="24"/>
      <c r="AP13" s="24"/>
      <c r="AQ13" s="24"/>
      <c r="AR13" s="24"/>
      <c r="AS13" s="24"/>
      <c r="AT13" s="24"/>
      <c r="AU13" s="24"/>
      <c r="AV13" s="24"/>
      <c r="AW13" s="24"/>
      <c r="AX13" s="24"/>
      <c r="AY13" s="24"/>
      <c r="AZ13" s="24"/>
      <c r="BA13" s="24"/>
      <c r="BB13" s="24"/>
      <c r="BC13" s="24"/>
    </row>
    <row r="14" spans="1:55" ht="94.5" customHeight="1" x14ac:dyDescent="0.25">
      <c r="A14" s="22">
        <f t="shared" si="0"/>
        <v>3</v>
      </c>
      <c r="B14" s="22"/>
      <c r="C14" s="25" t="s">
        <v>69</v>
      </c>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0" t="s">
        <v>76</v>
      </c>
      <c r="AK14" s="20"/>
      <c r="AL14" s="20"/>
      <c r="AM14" s="20"/>
      <c r="AN14" s="24" t="s">
        <v>78</v>
      </c>
      <c r="AO14" s="24"/>
      <c r="AP14" s="24"/>
      <c r="AQ14" s="24"/>
      <c r="AR14" s="24"/>
      <c r="AS14" s="24"/>
      <c r="AT14" s="24"/>
      <c r="AU14" s="24"/>
      <c r="AV14" s="24"/>
      <c r="AW14" s="24"/>
      <c r="AX14" s="24"/>
      <c r="AY14" s="24"/>
      <c r="AZ14" s="24"/>
      <c r="BA14" s="24"/>
      <c r="BB14" s="24"/>
      <c r="BC14" s="24"/>
    </row>
    <row r="15" spans="1:55" ht="107.25" customHeight="1" x14ac:dyDescent="0.25">
      <c r="A15" s="22">
        <f t="shared" si="0"/>
        <v>4</v>
      </c>
      <c r="B15" s="22"/>
      <c r="C15" s="25" t="s">
        <v>64</v>
      </c>
      <c r="D15" s="24"/>
      <c r="E15" s="24"/>
      <c r="F15" s="24"/>
      <c r="G15" s="24"/>
      <c r="H15" s="24"/>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0" t="s">
        <v>75</v>
      </c>
      <c r="AK15" s="20"/>
      <c r="AL15" s="20"/>
      <c r="AM15" s="20"/>
      <c r="AN15" s="24"/>
      <c r="AO15" s="24"/>
      <c r="AP15" s="24"/>
      <c r="AQ15" s="24"/>
      <c r="AR15" s="24"/>
      <c r="AS15" s="24"/>
      <c r="AT15" s="24"/>
      <c r="AU15" s="24"/>
      <c r="AV15" s="24"/>
      <c r="AW15" s="24"/>
      <c r="AX15" s="24"/>
      <c r="AY15" s="24"/>
      <c r="AZ15" s="24"/>
      <c r="BA15" s="24"/>
      <c r="BB15" s="24"/>
      <c r="BC15" s="24"/>
    </row>
    <row r="16" spans="1:55" ht="59.25" customHeight="1" x14ac:dyDescent="0.25">
      <c r="A16" s="22">
        <f t="shared" si="0"/>
        <v>5</v>
      </c>
      <c r="B16" s="22"/>
      <c r="C16" s="24" t="s">
        <v>65</v>
      </c>
      <c r="D16" s="24"/>
      <c r="E16" s="24"/>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0" t="s">
        <v>75</v>
      </c>
      <c r="AK16" s="20"/>
      <c r="AL16" s="20"/>
      <c r="AM16" s="20"/>
      <c r="AN16" s="24" t="s">
        <v>77</v>
      </c>
      <c r="AO16" s="24"/>
      <c r="AP16" s="24"/>
      <c r="AQ16" s="24"/>
      <c r="AR16" s="24"/>
      <c r="AS16" s="24"/>
      <c r="AT16" s="24"/>
      <c r="AU16" s="24"/>
      <c r="AV16" s="24"/>
      <c r="AW16" s="24"/>
      <c r="AX16" s="24"/>
      <c r="AY16" s="24"/>
      <c r="AZ16" s="24"/>
      <c r="BA16" s="24"/>
      <c r="BB16" s="24"/>
      <c r="BC16" s="24"/>
    </row>
    <row r="17" spans="1:55" ht="12.75" customHeight="1" x14ac:dyDescent="0.25">
      <c r="A17" s="22">
        <f t="shared" si="0"/>
        <v>6</v>
      </c>
      <c r="B17" s="22"/>
      <c r="C17" s="24" t="s">
        <v>24</v>
      </c>
      <c r="D17" s="24"/>
      <c r="E17" s="24"/>
      <c r="F17" s="24"/>
      <c r="G17" s="24"/>
      <c r="H17" s="24"/>
      <c r="I17" s="24"/>
      <c r="J17" s="24"/>
      <c r="K17" s="24"/>
      <c r="L17" s="24"/>
      <c r="M17" s="24"/>
      <c r="N17" s="24"/>
      <c r="O17" s="24"/>
      <c r="P17" s="24"/>
      <c r="Q17" s="24"/>
      <c r="R17" s="24"/>
      <c r="S17" s="24"/>
      <c r="T17" s="24"/>
      <c r="U17" s="24"/>
      <c r="V17" s="24"/>
      <c r="W17" s="24"/>
      <c r="X17" s="24"/>
      <c r="Y17" s="24"/>
      <c r="Z17" s="24"/>
      <c r="AA17" s="24"/>
      <c r="AB17" s="24"/>
      <c r="AC17" s="24"/>
      <c r="AD17" s="24"/>
      <c r="AE17" s="24"/>
      <c r="AF17" s="24"/>
      <c r="AG17" s="24"/>
      <c r="AH17" s="24"/>
      <c r="AI17" s="24"/>
      <c r="AJ17" s="20" t="s">
        <v>75</v>
      </c>
      <c r="AK17" s="20"/>
      <c r="AL17" s="20"/>
      <c r="AM17" s="20"/>
      <c r="AN17" s="24"/>
      <c r="AO17" s="24"/>
      <c r="AP17" s="24"/>
      <c r="AQ17" s="24"/>
      <c r="AR17" s="24"/>
      <c r="AS17" s="24"/>
      <c r="AT17" s="24"/>
      <c r="AU17" s="24"/>
      <c r="AV17" s="24"/>
      <c r="AW17" s="24"/>
      <c r="AX17" s="24"/>
      <c r="AY17" s="24"/>
      <c r="AZ17" s="24"/>
      <c r="BA17" s="24"/>
      <c r="BB17" s="24"/>
      <c r="BC17" s="24"/>
    </row>
    <row r="18" spans="1:55" ht="42" customHeight="1" x14ac:dyDescent="0.25">
      <c r="A18" s="22">
        <f t="shared" si="0"/>
        <v>7</v>
      </c>
      <c r="B18" s="22"/>
      <c r="C18" s="24" t="s">
        <v>56</v>
      </c>
      <c r="D18" s="24"/>
      <c r="E18" s="24"/>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0" t="s">
        <v>75</v>
      </c>
      <c r="AK18" s="20"/>
      <c r="AL18" s="20"/>
      <c r="AM18" s="20"/>
      <c r="AN18" s="24"/>
      <c r="AO18" s="24"/>
      <c r="AP18" s="24"/>
      <c r="AQ18" s="24"/>
      <c r="AR18" s="24"/>
      <c r="AS18" s="24"/>
      <c r="AT18" s="24"/>
      <c r="AU18" s="24"/>
      <c r="AV18" s="24"/>
      <c r="AW18" s="24"/>
      <c r="AX18" s="24"/>
      <c r="AY18" s="24"/>
      <c r="AZ18" s="24"/>
      <c r="BA18" s="24"/>
      <c r="BB18" s="24"/>
      <c r="BC18" s="24"/>
    </row>
    <row r="19" spans="1:55" ht="12.75" customHeight="1" x14ac:dyDescent="0.25">
      <c r="A19" s="22">
        <f t="shared" si="0"/>
        <v>8</v>
      </c>
      <c r="B19" s="22"/>
      <c r="C19" s="24" t="s">
        <v>25</v>
      </c>
      <c r="D19" s="24"/>
      <c r="E19" s="24"/>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0" t="s">
        <v>75</v>
      </c>
      <c r="AK19" s="20"/>
      <c r="AL19" s="20"/>
      <c r="AM19" s="20"/>
      <c r="AN19" s="24"/>
      <c r="AO19" s="24"/>
      <c r="AP19" s="24"/>
      <c r="AQ19" s="24"/>
      <c r="AR19" s="24"/>
      <c r="AS19" s="24"/>
      <c r="AT19" s="24"/>
      <c r="AU19" s="24"/>
      <c r="AV19" s="24"/>
      <c r="AW19" s="24"/>
      <c r="AX19" s="24"/>
      <c r="AY19" s="24"/>
      <c r="AZ19" s="24"/>
      <c r="BA19" s="24"/>
      <c r="BB19" s="24"/>
      <c r="BC19" s="24"/>
    </row>
    <row r="20" spans="1:55" ht="26.25" customHeight="1" x14ac:dyDescent="0.25">
      <c r="A20" s="22">
        <f t="shared" si="0"/>
        <v>9</v>
      </c>
      <c r="B20" s="22"/>
      <c r="C20" s="24" t="s">
        <v>26</v>
      </c>
      <c r="D20" s="24"/>
      <c r="E20" s="24"/>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0" t="s">
        <v>75</v>
      </c>
      <c r="AK20" s="20"/>
      <c r="AL20" s="20"/>
      <c r="AM20" s="20"/>
      <c r="AN20" s="24"/>
      <c r="AO20" s="24"/>
      <c r="AP20" s="24"/>
      <c r="AQ20" s="24"/>
      <c r="AR20" s="24"/>
      <c r="AS20" s="24"/>
      <c r="AT20" s="24"/>
      <c r="AU20" s="24"/>
      <c r="AV20" s="24"/>
      <c r="AW20" s="24"/>
      <c r="AX20" s="24"/>
      <c r="AY20" s="24"/>
      <c r="AZ20" s="24"/>
      <c r="BA20" s="24"/>
      <c r="BB20" s="24"/>
      <c r="BC20" s="24"/>
    </row>
    <row r="21" spans="1:55" ht="27.65" customHeight="1" x14ac:dyDescent="0.25">
      <c r="A21" s="22">
        <f t="shared" si="0"/>
        <v>10</v>
      </c>
      <c r="B21" s="22"/>
      <c r="C21" s="24" t="s">
        <v>27</v>
      </c>
      <c r="D21" s="24"/>
      <c r="E21" s="24"/>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0" t="s">
        <v>75</v>
      </c>
      <c r="AK21" s="20"/>
      <c r="AL21" s="20"/>
      <c r="AM21" s="20"/>
      <c r="AN21" s="24"/>
      <c r="AO21" s="24"/>
      <c r="AP21" s="24"/>
      <c r="AQ21" s="24"/>
      <c r="AR21" s="24"/>
      <c r="AS21" s="24"/>
      <c r="AT21" s="24"/>
      <c r="AU21" s="24"/>
      <c r="AV21" s="24"/>
      <c r="AW21" s="24"/>
      <c r="AX21" s="24"/>
      <c r="AY21" s="24"/>
      <c r="AZ21" s="24"/>
      <c r="BA21" s="24"/>
      <c r="BB21" s="24"/>
      <c r="BC21" s="24"/>
    </row>
    <row r="22" spans="1:55" ht="12.75" customHeight="1" x14ac:dyDescent="0.25">
      <c r="A22" s="22">
        <f t="shared" si="0"/>
        <v>11</v>
      </c>
      <c r="B22" s="22"/>
      <c r="C22" s="24" t="s">
        <v>66</v>
      </c>
      <c r="D22" s="24"/>
      <c r="E22" s="24"/>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c r="AI22" s="24"/>
      <c r="AJ22" s="20" t="s">
        <v>75</v>
      </c>
      <c r="AK22" s="20"/>
      <c r="AL22" s="20"/>
      <c r="AM22" s="20"/>
      <c r="AN22" s="24"/>
      <c r="AO22" s="24"/>
      <c r="AP22" s="24"/>
      <c r="AQ22" s="24"/>
      <c r="AR22" s="24"/>
      <c r="AS22" s="24"/>
      <c r="AT22" s="24"/>
      <c r="AU22" s="24"/>
      <c r="AV22" s="24"/>
      <c r="AW22" s="24"/>
      <c r="AX22" s="24"/>
      <c r="AY22" s="24"/>
      <c r="AZ22" s="24"/>
      <c r="BA22" s="24"/>
      <c r="BB22" s="24"/>
      <c r="BC22" s="24"/>
    </row>
    <row r="23" spans="1:55" ht="12.75" customHeight="1" x14ac:dyDescent="0.25">
      <c r="A23" s="22">
        <f t="shared" si="0"/>
        <v>12</v>
      </c>
      <c r="B23" s="22"/>
      <c r="C23" s="24" t="s">
        <v>28</v>
      </c>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0" t="s">
        <v>76</v>
      </c>
      <c r="AK23" s="20"/>
      <c r="AL23" s="20"/>
      <c r="AM23" s="20"/>
      <c r="AN23" s="24" t="s">
        <v>79</v>
      </c>
      <c r="AO23" s="24"/>
      <c r="AP23" s="24"/>
      <c r="AQ23" s="24"/>
      <c r="AR23" s="24"/>
      <c r="AS23" s="24"/>
      <c r="AT23" s="24"/>
      <c r="AU23" s="24"/>
      <c r="AV23" s="24"/>
      <c r="AW23" s="24"/>
      <c r="AX23" s="24"/>
      <c r="AY23" s="24"/>
      <c r="AZ23" s="24"/>
      <c r="BA23" s="24"/>
      <c r="BB23" s="24"/>
      <c r="BC23" s="24"/>
    </row>
    <row r="24" spans="1:55" ht="12.75" customHeight="1" x14ac:dyDescent="0.25">
      <c r="A24" s="22">
        <f t="shared" si="0"/>
        <v>13</v>
      </c>
      <c r="B24" s="22"/>
      <c r="C24" s="24" t="s">
        <v>29</v>
      </c>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0" t="s">
        <v>75</v>
      </c>
      <c r="AK24" s="20"/>
      <c r="AL24" s="20"/>
      <c r="AM24" s="20"/>
      <c r="AN24" s="24"/>
      <c r="AO24" s="24"/>
      <c r="AP24" s="24"/>
      <c r="AQ24" s="24"/>
      <c r="AR24" s="24"/>
      <c r="AS24" s="24"/>
      <c r="AT24" s="24"/>
      <c r="AU24" s="24"/>
      <c r="AV24" s="24"/>
      <c r="AW24" s="24"/>
      <c r="AX24" s="24"/>
      <c r="AY24" s="24"/>
      <c r="AZ24" s="24"/>
      <c r="BA24" s="24"/>
      <c r="BB24" s="24"/>
      <c r="BC24" s="24"/>
    </row>
    <row r="25" spans="1:55" ht="12.75" customHeight="1" x14ac:dyDescent="0.25">
      <c r="A25" s="22">
        <f t="shared" si="0"/>
        <v>14</v>
      </c>
      <c r="B25" s="22"/>
      <c r="C25" s="24" t="s">
        <v>67</v>
      </c>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0" t="s">
        <v>75</v>
      </c>
      <c r="AK25" s="20"/>
      <c r="AL25" s="20"/>
      <c r="AM25" s="20"/>
      <c r="AN25" s="24"/>
      <c r="AO25" s="24"/>
      <c r="AP25" s="24"/>
      <c r="AQ25" s="24"/>
      <c r="AR25" s="24"/>
      <c r="AS25" s="24"/>
      <c r="AT25" s="24"/>
      <c r="AU25" s="24"/>
      <c r="AV25" s="24"/>
      <c r="AW25" s="24"/>
      <c r="AX25" s="24"/>
      <c r="AY25" s="24"/>
      <c r="AZ25" s="24"/>
      <c r="BA25" s="24"/>
      <c r="BB25" s="24"/>
      <c r="BC25" s="24"/>
    </row>
    <row r="26" spans="1:55" ht="66" customHeight="1" x14ac:dyDescent="0.25">
      <c r="A26" s="22">
        <f t="shared" si="0"/>
        <v>15</v>
      </c>
      <c r="B26" s="22"/>
      <c r="C26" s="24" t="s">
        <v>58</v>
      </c>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0" t="s">
        <v>75</v>
      </c>
      <c r="AK26" s="20"/>
      <c r="AL26" s="20"/>
      <c r="AM26" s="20"/>
      <c r="AN26" s="24"/>
      <c r="AO26" s="24"/>
      <c r="AP26" s="24"/>
      <c r="AQ26" s="24"/>
      <c r="AR26" s="24"/>
      <c r="AS26" s="24"/>
      <c r="AT26" s="24"/>
      <c r="AU26" s="24"/>
      <c r="AV26" s="24"/>
      <c r="AW26" s="24"/>
      <c r="AX26" s="24"/>
      <c r="AY26" s="24"/>
      <c r="AZ26" s="24"/>
      <c r="BA26" s="24"/>
      <c r="BB26" s="24"/>
      <c r="BC26" s="24"/>
    </row>
    <row r="27" spans="1:55" ht="12.75" customHeight="1" x14ac:dyDescent="0.25">
      <c r="A27" s="22">
        <f t="shared" si="0"/>
        <v>16</v>
      </c>
      <c r="B27" s="22"/>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0"/>
      <c r="AK27" s="20"/>
      <c r="AL27" s="20"/>
      <c r="AM27" s="20"/>
      <c r="AN27" s="24"/>
      <c r="AO27" s="24"/>
      <c r="AP27" s="24"/>
      <c r="AQ27" s="24"/>
      <c r="AR27" s="24"/>
      <c r="AS27" s="24"/>
      <c r="AT27" s="24"/>
      <c r="AU27" s="24"/>
      <c r="AV27" s="24"/>
      <c r="AW27" s="24"/>
      <c r="AX27" s="24"/>
      <c r="AY27" s="24"/>
      <c r="AZ27" s="24"/>
      <c r="BA27" s="24"/>
      <c r="BB27" s="24"/>
      <c r="BC27" s="24"/>
    </row>
    <row r="28" spans="1:55" x14ac:dyDescent="0.25">
      <c r="A28" s="21" t="s">
        <v>80</v>
      </c>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row>
    <row r="29" spans="1:55" ht="12.75" customHeight="1" x14ac:dyDescent="0.25">
      <c r="A29" s="22">
        <v>1</v>
      </c>
      <c r="B29" s="22"/>
      <c r="C29" s="24" t="s">
        <v>30</v>
      </c>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0" t="s">
        <v>76</v>
      </c>
      <c r="AK29" s="20"/>
      <c r="AL29" s="20"/>
      <c r="AM29" s="20"/>
      <c r="AN29" s="24" t="s">
        <v>81</v>
      </c>
      <c r="AO29" s="24"/>
      <c r="AP29" s="24"/>
      <c r="AQ29" s="24"/>
      <c r="AR29" s="24"/>
      <c r="AS29" s="24"/>
      <c r="AT29" s="24"/>
      <c r="AU29" s="24"/>
      <c r="AV29" s="24"/>
      <c r="AW29" s="24"/>
      <c r="AX29" s="24"/>
      <c r="AY29" s="24"/>
      <c r="AZ29" s="24"/>
      <c r="BA29" s="24"/>
      <c r="BB29" s="24"/>
      <c r="BC29" s="24"/>
    </row>
    <row r="30" spans="1:55" ht="43.85" customHeight="1" x14ac:dyDescent="0.25">
      <c r="A30" s="22">
        <f>A29+1</f>
        <v>2</v>
      </c>
      <c r="B30" s="22"/>
      <c r="C30" s="24" t="s">
        <v>57</v>
      </c>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0" t="s">
        <v>76</v>
      </c>
      <c r="AK30" s="20"/>
      <c r="AL30" s="20"/>
      <c r="AM30" s="20"/>
      <c r="AN30" s="24" t="s">
        <v>81</v>
      </c>
      <c r="AO30" s="24"/>
      <c r="AP30" s="24"/>
      <c r="AQ30" s="24"/>
      <c r="AR30" s="24"/>
      <c r="AS30" s="24"/>
      <c r="AT30" s="24"/>
      <c r="AU30" s="24"/>
      <c r="AV30" s="24"/>
      <c r="AW30" s="24"/>
      <c r="AX30" s="24"/>
      <c r="AY30" s="24"/>
      <c r="AZ30" s="24"/>
      <c r="BA30" s="24"/>
      <c r="BB30" s="24"/>
      <c r="BC30" s="24"/>
    </row>
    <row r="31" spans="1:55" ht="12.75" customHeight="1" x14ac:dyDescent="0.25">
      <c r="A31" s="22">
        <f>A30+1</f>
        <v>3</v>
      </c>
      <c r="B31" s="22"/>
      <c r="C31" s="24"/>
      <c r="D31" s="24"/>
      <c r="E31" s="24"/>
      <c r="F31" s="24"/>
      <c r="G31" s="24"/>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0"/>
      <c r="AK31" s="20"/>
      <c r="AL31" s="20"/>
      <c r="AM31" s="20"/>
      <c r="AN31" s="24"/>
      <c r="AO31" s="24"/>
      <c r="AP31" s="24"/>
      <c r="AQ31" s="24"/>
      <c r="AR31" s="24"/>
      <c r="AS31" s="24"/>
      <c r="AT31" s="24"/>
      <c r="AU31" s="24"/>
      <c r="AV31" s="24"/>
      <c r="AW31" s="24"/>
      <c r="AX31" s="24"/>
      <c r="AY31" s="24"/>
      <c r="AZ31" s="24"/>
      <c r="BA31" s="24"/>
      <c r="BB31" s="24"/>
      <c r="BC31" s="24"/>
    </row>
    <row r="32" spans="1:55" x14ac:dyDescent="0.25">
      <c r="A32" s="21" t="s">
        <v>31</v>
      </c>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21"/>
      <c r="AI32" s="21"/>
      <c r="AJ32" s="21"/>
      <c r="AK32" s="21"/>
      <c r="AL32" s="21"/>
      <c r="AM32" s="21"/>
      <c r="AN32" s="21"/>
      <c r="AO32" s="21"/>
      <c r="AP32" s="21"/>
      <c r="AQ32" s="21"/>
      <c r="AR32" s="21"/>
      <c r="AS32" s="21"/>
      <c r="AT32" s="21"/>
      <c r="AU32" s="21"/>
      <c r="AV32" s="21"/>
      <c r="AW32" s="21"/>
      <c r="AX32" s="21"/>
      <c r="AY32" s="21"/>
      <c r="AZ32" s="21"/>
      <c r="BA32" s="21"/>
      <c r="BB32" s="21"/>
      <c r="BC32" s="21"/>
    </row>
    <row r="33" spans="1:55" ht="12.75" customHeight="1" x14ac:dyDescent="0.25">
      <c r="A33" s="22">
        <v>1</v>
      </c>
      <c r="B33" s="22"/>
      <c r="C33" s="24" t="s">
        <v>60</v>
      </c>
      <c r="D33" s="24"/>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0" t="s">
        <v>76</v>
      </c>
      <c r="AK33" s="20"/>
      <c r="AL33" s="20"/>
      <c r="AM33" s="20"/>
      <c r="AN33" s="24" t="s">
        <v>82</v>
      </c>
      <c r="AO33" s="24"/>
      <c r="AP33" s="24"/>
      <c r="AQ33" s="24"/>
      <c r="AR33" s="24"/>
      <c r="AS33" s="24"/>
      <c r="AT33" s="24"/>
      <c r="AU33" s="24"/>
      <c r="AV33" s="24"/>
      <c r="AW33" s="24"/>
      <c r="AX33" s="24"/>
      <c r="AY33" s="24"/>
      <c r="AZ33" s="24"/>
      <c r="BA33" s="24"/>
      <c r="BB33" s="24"/>
      <c r="BC33" s="24"/>
    </row>
    <row r="34" spans="1:55" ht="53.25" customHeight="1" x14ac:dyDescent="0.25">
      <c r="A34" s="22">
        <f>A33+1</f>
        <v>2</v>
      </c>
      <c r="B34" s="22"/>
      <c r="C34" s="24" t="s">
        <v>32</v>
      </c>
      <c r="D34" s="24"/>
      <c r="E34" s="24"/>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0" t="s">
        <v>75</v>
      </c>
      <c r="AK34" s="20"/>
      <c r="AL34" s="20"/>
      <c r="AM34" s="20"/>
      <c r="AN34" s="24"/>
      <c r="AO34" s="24"/>
      <c r="AP34" s="24"/>
      <c r="AQ34" s="24"/>
      <c r="AR34" s="24"/>
      <c r="AS34" s="24"/>
      <c r="AT34" s="24"/>
      <c r="AU34" s="24"/>
      <c r="AV34" s="24"/>
      <c r="AW34" s="24"/>
      <c r="AX34" s="24"/>
      <c r="AY34" s="24"/>
      <c r="AZ34" s="24"/>
      <c r="BA34" s="24"/>
      <c r="BB34" s="24"/>
      <c r="BC34" s="24"/>
    </row>
    <row r="35" spans="1:55" ht="12.75" customHeight="1" x14ac:dyDescent="0.25">
      <c r="A35" s="22">
        <f>A34+1</f>
        <v>3</v>
      </c>
      <c r="B35" s="22"/>
      <c r="C35" s="24"/>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0"/>
      <c r="AK35" s="20"/>
      <c r="AL35" s="20"/>
      <c r="AM35" s="20"/>
      <c r="AN35" s="24"/>
      <c r="AO35" s="24"/>
      <c r="AP35" s="24"/>
      <c r="AQ35" s="24"/>
      <c r="AR35" s="24"/>
      <c r="AS35" s="24"/>
      <c r="AT35" s="24"/>
      <c r="AU35" s="24"/>
      <c r="AV35" s="24"/>
      <c r="AW35" s="24"/>
      <c r="AX35" s="24"/>
      <c r="AY35" s="24"/>
      <c r="AZ35" s="24"/>
      <c r="BA35" s="24"/>
      <c r="BB35" s="24"/>
      <c r="BC35" s="24"/>
    </row>
    <row r="36" spans="1:55" x14ac:dyDescent="0.25">
      <c r="A36" s="21" t="s">
        <v>33</v>
      </c>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21"/>
      <c r="AI36" s="21"/>
      <c r="AJ36" s="21"/>
      <c r="AK36" s="21"/>
      <c r="AL36" s="21"/>
      <c r="AM36" s="21"/>
      <c r="AN36" s="21"/>
      <c r="AO36" s="21"/>
      <c r="AP36" s="21"/>
      <c r="AQ36" s="21"/>
      <c r="AR36" s="21"/>
      <c r="AS36" s="21"/>
      <c r="AT36" s="21"/>
      <c r="AU36" s="21"/>
      <c r="AV36" s="21"/>
      <c r="AW36" s="21"/>
      <c r="AX36" s="21"/>
      <c r="AY36" s="21"/>
      <c r="AZ36" s="21"/>
      <c r="BA36" s="21"/>
      <c r="BB36" s="21"/>
      <c r="BC36" s="21"/>
    </row>
    <row r="37" spans="1:55" ht="13.5" customHeight="1" x14ac:dyDescent="0.25">
      <c r="A37" s="22">
        <v>1</v>
      </c>
      <c r="B37" s="22"/>
      <c r="C37" s="24" t="s">
        <v>59</v>
      </c>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0" t="s">
        <v>76</v>
      </c>
      <c r="AK37" s="20"/>
      <c r="AL37" s="20"/>
      <c r="AM37" s="20"/>
      <c r="AN37" s="24" t="s">
        <v>82</v>
      </c>
      <c r="AO37" s="24"/>
      <c r="AP37" s="24"/>
      <c r="AQ37" s="24"/>
      <c r="AR37" s="24"/>
      <c r="AS37" s="24"/>
      <c r="AT37" s="24"/>
      <c r="AU37" s="24"/>
      <c r="AV37" s="24"/>
      <c r="AW37" s="24"/>
      <c r="AX37" s="24"/>
      <c r="AY37" s="24"/>
      <c r="AZ37" s="24"/>
      <c r="BA37" s="24"/>
      <c r="BB37" s="24"/>
      <c r="BC37" s="24"/>
    </row>
    <row r="38" spans="1:55" ht="64.5" customHeight="1" x14ac:dyDescent="0.25">
      <c r="A38" s="22">
        <f>A37+1</f>
        <v>2</v>
      </c>
      <c r="B38" s="22"/>
      <c r="C38" s="24" t="s">
        <v>34</v>
      </c>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0" t="s">
        <v>75</v>
      </c>
      <c r="AK38" s="20"/>
      <c r="AL38" s="20"/>
      <c r="AM38" s="20"/>
      <c r="AN38" s="24"/>
      <c r="AO38" s="24"/>
      <c r="AP38" s="24"/>
      <c r="AQ38" s="24"/>
      <c r="AR38" s="24"/>
      <c r="AS38" s="24"/>
      <c r="AT38" s="24"/>
      <c r="AU38" s="24"/>
      <c r="AV38" s="24"/>
      <c r="AW38" s="24"/>
      <c r="AX38" s="24"/>
      <c r="AY38" s="24"/>
      <c r="AZ38" s="24"/>
      <c r="BA38" s="24"/>
      <c r="BB38" s="24"/>
      <c r="BC38" s="24"/>
    </row>
    <row r="39" spans="1:55" ht="12.75" customHeight="1" x14ac:dyDescent="0.25">
      <c r="A39" s="22">
        <f>A38+1</f>
        <v>3</v>
      </c>
      <c r="B39" s="22"/>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0"/>
      <c r="AK39" s="20"/>
      <c r="AL39" s="20"/>
      <c r="AM39" s="20"/>
      <c r="AN39" s="24"/>
      <c r="AO39" s="24"/>
      <c r="AP39" s="24"/>
      <c r="AQ39" s="24"/>
      <c r="AR39" s="24"/>
      <c r="AS39" s="24"/>
      <c r="AT39" s="24"/>
      <c r="AU39" s="24"/>
      <c r="AV39" s="24"/>
      <c r="AW39" s="24"/>
      <c r="AX39" s="24"/>
      <c r="AY39" s="24"/>
      <c r="AZ39" s="24"/>
      <c r="BA39" s="24"/>
      <c r="BB39" s="24"/>
      <c r="BC39" s="24"/>
    </row>
    <row r="40" spans="1:55" x14ac:dyDescent="0.25">
      <c r="A40" s="21" t="s">
        <v>35</v>
      </c>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row>
    <row r="41" spans="1:55" x14ac:dyDescent="0.25">
      <c r="A41" s="22">
        <v>1</v>
      </c>
      <c r="B41" s="22"/>
      <c r="C41" s="24" t="s">
        <v>68</v>
      </c>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0" t="s">
        <v>75</v>
      </c>
      <c r="AK41" s="20"/>
      <c r="AL41" s="20"/>
      <c r="AM41" s="20"/>
      <c r="AN41" s="24"/>
      <c r="AO41" s="24"/>
      <c r="AP41" s="24"/>
      <c r="AQ41" s="24"/>
      <c r="AR41" s="24"/>
      <c r="AS41" s="24"/>
      <c r="AT41" s="24"/>
      <c r="AU41" s="24"/>
      <c r="AV41" s="24"/>
      <c r="AW41" s="24"/>
      <c r="AX41" s="24"/>
      <c r="AY41" s="24"/>
      <c r="AZ41" s="24"/>
      <c r="BA41" s="24"/>
      <c r="BB41" s="24"/>
      <c r="BC41" s="24"/>
    </row>
    <row r="42" spans="1:55" x14ac:dyDescent="0.25">
      <c r="A42" s="22">
        <f>A41+1</f>
        <v>2</v>
      </c>
      <c r="B42" s="22"/>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0"/>
      <c r="AK42" s="20"/>
      <c r="AL42" s="20"/>
      <c r="AM42" s="20"/>
      <c r="AN42" s="24"/>
      <c r="AO42" s="24"/>
      <c r="AP42" s="24"/>
      <c r="AQ42" s="24"/>
      <c r="AR42" s="24"/>
      <c r="AS42" s="24"/>
      <c r="AT42" s="24"/>
      <c r="AU42" s="24"/>
      <c r="AV42" s="24"/>
      <c r="AW42" s="24"/>
      <c r="AX42" s="24"/>
      <c r="AY42" s="24"/>
      <c r="AZ42" s="24"/>
      <c r="BA42" s="24"/>
      <c r="BB42" s="24"/>
      <c r="BC42" s="24"/>
    </row>
    <row r="43" spans="1:55" x14ac:dyDescent="0.25">
      <c r="A43" s="22">
        <f>A42+1</f>
        <v>3</v>
      </c>
      <c r="B43" s="22"/>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0"/>
      <c r="AK43" s="20"/>
      <c r="AL43" s="20"/>
      <c r="AM43" s="20"/>
      <c r="AN43" s="24"/>
      <c r="AO43" s="24"/>
      <c r="AP43" s="24"/>
      <c r="AQ43" s="24"/>
      <c r="AR43" s="24"/>
      <c r="AS43" s="24"/>
      <c r="AT43" s="24"/>
      <c r="AU43" s="24"/>
      <c r="AV43" s="24"/>
      <c r="AW43" s="24"/>
      <c r="AX43" s="24"/>
      <c r="AY43" s="24"/>
      <c r="AZ43" s="24"/>
      <c r="BA43" s="24"/>
      <c r="BB43" s="24"/>
      <c r="BC43" s="24"/>
    </row>
    <row r="44" spans="1:55" x14ac:dyDescent="0.25">
      <c r="A44" s="21" t="s">
        <v>36</v>
      </c>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row>
    <row r="45" spans="1:55" x14ac:dyDescent="0.25">
      <c r="A45" s="22">
        <v>1</v>
      </c>
      <c r="B45" s="22"/>
      <c r="C45" s="24" t="s">
        <v>61</v>
      </c>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0" t="s">
        <v>75</v>
      </c>
      <c r="AK45" s="20"/>
      <c r="AL45" s="20"/>
      <c r="AM45" s="20"/>
      <c r="AN45" s="24"/>
      <c r="AO45" s="24"/>
      <c r="AP45" s="24"/>
      <c r="AQ45" s="24"/>
      <c r="AR45" s="24"/>
      <c r="AS45" s="24"/>
      <c r="AT45" s="24"/>
      <c r="AU45" s="24"/>
      <c r="AV45" s="24"/>
      <c r="AW45" s="24"/>
      <c r="AX45" s="24"/>
      <c r="AY45" s="24"/>
      <c r="AZ45" s="24"/>
      <c r="BA45" s="24"/>
      <c r="BB45" s="24"/>
      <c r="BC45" s="24"/>
    </row>
    <row r="46" spans="1:55" x14ac:dyDescent="0.25">
      <c r="A46" s="22">
        <f>A45+1</f>
        <v>2</v>
      </c>
      <c r="B46" s="22"/>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0"/>
      <c r="AK46" s="20"/>
      <c r="AL46" s="20"/>
      <c r="AM46" s="20"/>
      <c r="AN46" s="24"/>
      <c r="AO46" s="24"/>
      <c r="AP46" s="24"/>
      <c r="AQ46" s="24"/>
      <c r="AR46" s="24"/>
      <c r="AS46" s="24"/>
      <c r="AT46" s="24"/>
      <c r="AU46" s="24"/>
      <c r="AV46" s="24"/>
      <c r="AW46" s="24"/>
      <c r="AX46" s="24"/>
      <c r="AY46" s="24"/>
      <c r="AZ46" s="24"/>
      <c r="BA46" s="24"/>
      <c r="BB46" s="24"/>
      <c r="BC46" s="24"/>
    </row>
    <row r="47" spans="1:55" x14ac:dyDescent="0.25">
      <c r="A47" s="22">
        <f>A46+1</f>
        <v>3</v>
      </c>
      <c r="B47" s="22"/>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0"/>
      <c r="AK47" s="20"/>
      <c r="AL47" s="20"/>
      <c r="AM47" s="20"/>
      <c r="AN47" s="24"/>
      <c r="AO47" s="24"/>
      <c r="AP47" s="24"/>
      <c r="AQ47" s="24"/>
      <c r="AR47" s="24"/>
      <c r="AS47" s="24"/>
      <c r="AT47" s="24"/>
      <c r="AU47" s="24"/>
      <c r="AV47" s="24"/>
      <c r="AW47" s="24"/>
      <c r="AX47" s="24"/>
      <c r="AY47" s="24"/>
      <c r="AZ47" s="24"/>
      <c r="BA47" s="24"/>
      <c r="BB47" s="24"/>
      <c r="BC47" s="24"/>
    </row>
    <row r="48" spans="1:55" x14ac:dyDescent="0.25">
      <c r="A48" s="21" t="s">
        <v>37</v>
      </c>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row>
    <row r="49" spans="1:55" x14ac:dyDescent="0.25">
      <c r="A49" s="22">
        <v>1</v>
      </c>
      <c r="B49" s="22"/>
      <c r="C49" s="24" t="s">
        <v>62</v>
      </c>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0" t="s">
        <v>75</v>
      </c>
      <c r="AK49" s="20"/>
      <c r="AL49" s="20"/>
      <c r="AM49" s="20"/>
      <c r="AN49" s="24"/>
      <c r="AO49" s="24"/>
      <c r="AP49" s="24"/>
      <c r="AQ49" s="24"/>
      <c r="AR49" s="24"/>
      <c r="AS49" s="24"/>
      <c r="AT49" s="24"/>
      <c r="AU49" s="24"/>
      <c r="AV49" s="24"/>
      <c r="AW49" s="24"/>
      <c r="AX49" s="24"/>
      <c r="AY49" s="24"/>
      <c r="AZ49" s="24"/>
      <c r="BA49" s="24"/>
      <c r="BB49" s="24"/>
      <c r="BC49" s="24"/>
    </row>
    <row r="50" spans="1:55" x14ac:dyDescent="0.25">
      <c r="A50" s="22">
        <f>A49+1</f>
        <v>2</v>
      </c>
      <c r="B50" s="22"/>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0"/>
      <c r="AK50" s="20"/>
      <c r="AL50" s="20"/>
      <c r="AM50" s="20"/>
      <c r="AN50" s="24"/>
      <c r="AO50" s="24"/>
      <c r="AP50" s="24"/>
      <c r="AQ50" s="24"/>
      <c r="AR50" s="24"/>
      <c r="AS50" s="24"/>
      <c r="AT50" s="24"/>
      <c r="AU50" s="24"/>
      <c r="AV50" s="24"/>
      <c r="AW50" s="24"/>
      <c r="AX50" s="24"/>
      <c r="AY50" s="24"/>
      <c r="AZ50" s="24"/>
      <c r="BA50" s="24"/>
      <c r="BB50" s="24"/>
      <c r="BC50" s="24"/>
    </row>
    <row r="51" spans="1:55" x14ac:dyDescent="0.25">
      <c r="A51" s="22">
        <f>A50+1</f>
        <v>3</v>
      </c>
      <c r="B51" s="22"/>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0"/>
      <c r="AK51" s="20"/>
      <c r="AL51" s="20"/>
      <c r="AM51" s="20"/>
      <c r="AN51" s="24"/>
      <c r="AO51" s="24"/>
      <c r="AP51" s="24"/>
      <c r="AQ51" s="24"/>
      <c r="AR51" s="24"/>
      <c r="AS51" s="24"/>
      <c r="AT51" s="24"/>
      <c r="AU51" s="24"/>
      <c r="AV51" s="24"/>
      <c r="AW51" s="24"/>
      <c r="AX51" s="24"/>
      <c r="AY51" s="24"/>
      <c r="AZ51" s="24"/>
      <c r="BA51" s="24"/>
      <c r="BB51" s="24"/>
      <c r="BC51" s="24"/>
    </row>
    <row r="52" spans="1:55" x14ac:dyDescent="0.25">
      <c r="A52" s="21" t="s">
        <v>72</v>
      </c>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row>
    <row r="53" spans="1:55" ht="13.5" customHeight="1" x14ac:dyDescent="0.25">
      <c r="A53" s="22">
        <v>1</v>
      </c>
      <c r="B53" s="22"/>
      <c r="C53" s="24" t="s">
        <v>63</v>
      </c>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0" t="s">
        <v>75</v>
      </c>
      <c r="AK53" s="20"/>
      <c r="AL53" s="20"/>
      <c r="AM53" s="20"/>
      <c r="AN53" s="24"/>
      <c r="AO53" s="24"/>
      <c r="AP53" s="24"/>
      <c r="AQ53" s="24"/>
      <c r="AR53" s="24"/>
      <c r="AS53" s="24"/>
      <c r="AT53" s="24"/>
      <c r="AU53" s="24"/>
      <c r="AV53" s="24"/>
      <c r="AW53" s="24"/>
      <c r="AX53" s="24"/>
      <c r="AY53" s="24"/>
      <c r="AZ53" s="24"/>
      <c r="BA53" s="24"/>
      <c r="BB53" s="24"/>
      <c r="BC53" s="24"/>
    </row>
    <row r="54" spans="1:55" x14ac:dyDescent="0.25">
      <c r="A54" s="22">
        <f>A53+1</f>
        <v>2</v>
      </c>
      <c r="B54" s="22"/>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0"/>
      <c r="AK54" s="20"/>
      <c r="AL54" s="20"/>
      <c r="AM54" s="20"/>
      <c r="AN54" s="24"/>
      <c r="AO54" s="24"/>
      <c r="AP54" s="24"/>
      <c r="AQ54" s="24"/>
      <c r="AR54" s="24"/>
      <c r="AS54" s="24"/>
      <c r="AT54" s="24"/>
      <c r="AU54" s="24"/>
      <c r="AV54" s="24"/>
      <c r="AW54" s="24"/>
      <c r="AX54" s="24"/>
      <c r="AY54" s="24"/>
      <c r="AZ54" s="24"/>
      <c r="BA54" s="24"/>
      <c r="BB54" s="24"/>
      <c r="BC54" s="24"/>
    </row>
    <row r="55" spans="1:55" x14ac:dyDescent="0.25">
      <c r="A55" s="22">
        <f>A54+1</f>
        <v>3</v>
      </c>
      <c r="B55" s="22"/>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0"/>
      <c r="AK55" s="20"/>
      <c r="AL55" s="20"/>
      <c r="AM55" s="20"/>
      <c r="AN55" s="24"/>
      <c r="AO55" s="24"/>
      <c r="AP55" s="24"/>
      <c r="AQ55" s="24"/>
      <c r="AR55" s="24"/>
      <c r="AS55" s="24"/>
      <c r="AT55" s="24"/>
      <c r="AU55" s="24"/>
      <c r="AV55" s="24"/>
      <c r="AW55" s="24"/>
      <c r="AX55" s="24"/>
      <c r="AY55" s="24"/>
      <c r="AZ55" s="24"/>
      <c r="BA55" s="24"/>
      <c r="BB55" s="24"/>
      <c r="BC55" s="24"/>
    </row>
    <row r="56" spans="1:55" x14ac:dyDescent="0.25">
      <c r="A56" s="21" t="s">
        <v>38</v>
      </c>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row>
    <row r="57" spans="1:55" ht="40.5" customHeight="1" x14ac:dyDescent="0.25">
      <c r="A57" s="22">
        <v>1</v>
      </c>
      <c r="B57" s="22"/>
      <c r="C57" s="24" t="s">
        <v>39</v>
      </c>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0" t="s">
        <v>75</v>
      </c>
      <c r="AK57" s="20"/>
      <c r="AL57" s="20"/>
      <c r="AM57" s="20"/>
      <c r="AN57" s="24"/>
      <c r="AO57" s="24"/>
      <c r="AP57" s="24"/>
      <c r="AQ57" s="24"/>
      <c r="AR57" s="24"/>
      <c r="AS57" s="24"/>
      <c r="AT57" s="24"/>
      <c r="AU57" s="24"/>
      <c r="AV57" s="24"/>
      <c r="AW57" s="24"/>
      <c r="AX57" s="24"/>
      <c r="AY57" s="24"/>
      <c r="AZ57" s="24"/>
      <c r="BA57" s="24"/>
      <c r="BB57" s="24"/>
      <c r="BC57" s="24"/>
    </row>
    <row r="58" spans="1:55" ht="40.5" customHeight="1" x14ac:dyDescent="0.25">
      <c r="A58" s="22">
        <v>2</v>
      </c>
      <c r="B58" s="22"/>
      <c r="C58" s="24" t="s">
        <v>40</v>
      </c>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0" t="s">
        <v>75</v>
      </c>
      <c r="AK58" s="20"/>
      <c r="AL58" s="20"/>
      <c r="AM58" s="20"/>
      <c r="AN58" s="24"/>
      <c r="AO58" s="24"/>
      <c r="AP58" s="24"/>
      <c r="AQ58" s="24"/>
      <c r="AR58" s="24"/>
      <c r="AS58" s="24"/>
      <c r="AT58" s="24"/>
      <c r="AU58" s="24"/>
      <c r="AV58" s="24"/>
      <c r="AW58" s="24"/>
      <c r="AX58" s="24"/>
      <c r="AY58" s="24"/>
      <c r="AZ58" s="24"/>
      <c r="BA58" s="24"/>
      <c r="BB58" s="24"/>
      <c r="BC58" s="24"/>
    </row>
    <row r="59" spans="1:55" ht="13.5" customHeight="1" x14ac:dyDescent="0.25">
      <c r="A59" s="22">
        <v>3</v>
      </c>
      <c r="B59" s="22"/>
      <c r="C59" s="24" t="s">
        <v>41</v>
      </c>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0" t="s">
        <v>75</v>
      </c>
      <c r="AK59" s="20"/>
      <c r="AL59" s="20"/>
      <c r="AM59" s="20"/>
      <c r="AN59" s="24"/>
      <c r="AO59" s="24"/>
      <c r="AP59" s="24"/>
      <c r="AQ59" s="24"/>
      <c r="AR59" s="24"/>
      <c r="AS59" s="24"/>
      <c r="AT59" s="24"/>
      <c r="AU59" s="24"/>
      <c r="AV59" s="24"/>
      <c r="AW59" s="24"/>
      <c r="AX59" s="24"/>
      <c r="AY59" s="24"/>
      <c r="AZ59" s="24"/>
      <c r="BA59" s="24"/>
      <c r="BB59" s="24"/>
      <c r="BC59" s="24"/>
    </row>
    <row r="60" spans="1:55" ht="13.5" customHeight="1" x14ac:dyDescent="0.25">
      <c r="A60" s="22">
        <v>4</v>
      </c>
      <c r="B60" s="22"/>
      <c r="C60" s="24" t="s">
        <v>42</v>
      </c>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0" t="s">
        <v>75</v>
      </c>
      <c r="AK60" s="20"/>
      <c r="AL60" s="20"/>
      <c r="AM60" s="20"/>
      <c r="AN60" s="24"/>
      <c r="AO60" s="24"/>
      <c r="AP60" s="24"/>
      <c r="AQ60" s="24"/>
      <c r="AR60" s="24"/>
      <c r="AS60" s="24"/>
      <c r="AT60" s="24"/>
      <c r="AU60" s="24"/>
      <c r="AV60" s="24"/>
      <c r="AW60" s="24"/>
      <c r="AX60" s="24"/>
      <c r="AY60" s="24"/>
      <c r="AZ60" s="24"/>
      <c r="BA60" s="24"/>
      <c r="BB60" s="24"/>
      <c r="BC60" s="24"/>
    </row>
    <row r="61" spans="1:55" ht="12.75" customHeight="1" x14ac:dyDescent="0.25">
      <c r="A61" s="22">
        <v>5</v>
      </c>
      <c r="B61" s="22"/>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0"/>
      <c r="AK61" s="20"/>
      <c r="AL61" s="20"/>
      <c r="AM61" s="20"/>
      <c r="AN61" s="24"/>
      <c r="AO61" s="24"/>
      <c r="AP61" s="24"/>
      <c r="AQ61" s="24"/>
      <c r="AR61" s="24"/>
      <c r="AS61" s="24"/>
      <c r="AT61" s="24"/>
      <c r="AU61" s="24"/>
      <c r="AV61" s="24"/>
      <c r="AW61" s="24"/>
      <c r="AX61" s="24"/>
      <c r="AY61" s="24"/>
      <c r="AZ61" s="24"/>
      <c r="BA61" s="24"/>
      <c r="BB61" s="24"/>
      <c r="BC61" s="24"/>
    </row>
  </sheetData>
  <mergeCells count="211">
    <mergeCell ref="A61:B61"/>
    <mergeCell ref="C61:AI61"/>
    <mergeCell ref="AJ61:AM61"/>
    <mergeCell ref="AN61:BC61"/>
    <mergeCell ref="A58:B58"/>
    <mergeCell ref="C58:AI58"/>
    <mergeCell ref="AJ58:AM58"/>
    <mergeCell ref="AN58:BC58"/>
    <mergeCell ref="A59:B59"/>
    <mergeCell ref="C59:AI59"/>
    <mergeCell ref="AJ59:AM59"/>
    <mergeCell ref="AN59:BC59"/>
    <mergeCell ref="A60:B60"/>
    <mergeCell ref="C60:AI60"/>
    <mergeCell ref="AJ60:AM60"/>
    <mergeCell ref="AN60:BC60"/>
    <mergeCell ref="A55:B55"/>
    <mergeCell ref="C55:AI55"/>
    <mergeCell ref="AJ55:AM55"/>
    <mergeCell ref="AN55:BC55"/>
    <mergeCell ref="A56:BC56"/>
    <mergeCell ref="A57:B57"/>
    <mergeCell ref="C57:AI57"/>
    <mergeCell ref="AJ57:AM57"/>
    <mergeCell ref="AN57:BC57"/>
    <mergeCell ref="A52:BC52"/>
    <mergeCell ref="A53:B53"/>
    <mergeCell ref="C53:AI53"/>
    <mergeCell ref="AJ53:AM53"/>
    <mergeCell ref="AN53:BC53"/>
    <mergeCell ref="A54:B54"/>
    <mergeCell ref="C54:AI54"/>
    <mergeCell ref="AJ54:AM54"/>
    <mergeCell ref="AN54:BC54"/>
    <mergeCell ref="A49:B49"/>
    <mergeCell ref="C49:AI49"/>
    <mergeCell ref="AJ49:AM49"/>
    <mergeCell ref="AN49:BC49"/>
    <mergeCell ref="A50:B50"/>
    <mergeCell ref="C50:AI50"/>
    <mergeCell ref="AJ50:AM50"/>
    <mergeCell ref="AN50:BC50"/>
    <mergeCell ref="A51:B51"/>
    <mergeCell ref="C51:AI51"/>
    <mergeCell ref="AJ51:AM51"/>
    <mergeCell ref="AN51:BC51"/>
    <mergeCell ref="A46:B46"/>
    <mergeCell ref="C46:AI46"/>
    <mergeCell ref="AJ46:AM46"/>
    <mergeCell ref="AN46:BC46"/>
    <mergeCell ref="A47:B47"/>
    <mergeCell ref="C47:AI47"/>
    <mergeCell ref="AJ47:AM47"/>
    <mergeCell ref="AN47:BC47"/>
    <mergeCell ref="A48:BC48"/>
    <mergeCell ref="A43:B43"/>
    <mergeCell ref="C43:AI43"/>
    <mergeCell ref="AJ43:AM43"/>
    <mergeCell ref="AN43:BC43"/>
    <mergeCell ref="A44:BC44"/>
    <mergeCell ref="A45:B45"/>
    <mergeCell ref="C45:AI45"/>
    <mergeCell ref="AJ45:AM45"/>
    <mergeCell ref="AN45:BC45"/>
    <mergeCell ref="A40:BC40"/>
    <mergeCell ref="A41:B41"/>
    <mergeCell ref="C41:AI41"/>
    <mergeCell ref="AJ41:AM41"/>
    <mergeCell ref="AN41:BC41"/>
    <mergeCell ref="A42:B42"/>
    <mergeCell ref="C42:AI42"/>
    <mergeCell ref="AJ42:AM42"/>
    <mergeCell ref="AN42:BC42"/>
    <mergeCell ref="A37:B37"/>
    <mergeCell ref="C37:AI37"/>
    <mergeCell ref="AJ37:AM37"/>
    <mergeCell ref="AN37:BC37"/>
    <mergeCell ref="A38:B38"/>
    <mergeCell ref="C38:AI38"/>
    <mergeCell ref="AJ38:AM38"/>
    <mergeCell ref="AN38:BC38"/>
    <mergeCell ref="A39:B39"/>
    <mergeCell ref="C39:AI39"/>
    <mergeCell ref="AJ39:AM39"/>
    <mergeCell ref="AN39:BC39"/>
    <mergeCell ref="A34:B34"/>
    <mergeCell ref="C34:AI34"/>
    <mergeCell ref="AJ34:AM34"/>
    <mergeCell ref="AN34:BC34"/>
    <mergeCell ref="A35:B35"/>
    <mergeCell ref="C35:AI35"/>
    <mergeCell ref="AJ35:AM35"/>
    <mergeCell ref="AN35:BC35"/>
    <mergeCell ref="A36:BC36"/>
    <mergeCell ref="A31:B31"/>
    <mergeCell ref="C31:AI31"/>
    <mergeCell ref="AJ31:AM31"/>
    <mergeCell ref="AN31:BC31"/>
    <mergeCell ref="A32:BC32"/>
    <mergeCell ref="A33:B33"/>
    <mergeCell ref="C33:AI33"/>
    <mergeCell ref="AJ33:AM33"/>
    <mergeCell ref="AN33:BC33"/>
    <mergeCell ref="A28:BC28"/>
    <mergeCell ref="A29:B29"/>
    <mergeCell ref="C29:AI29"/>
    <mergeCell ref="AJ29:AM29"/>
    <mergeCell ref="AN29:BC29"/>
    <mergeCell ref="A30:B30"/>
    <mergeCell ref="C30:AI30"/>
    <mergeCell ref="AJ30:AM30"/>
    <mergeCell ref="AN30:BC30"/>
    <mergeCell ref="A25:B25"/>
    <mergeCell ref="C25:AI25"/>
    <mergeCell ref="AJ25:AM25"/>
    <mergeCell ref="AN25:BC25"/>
    <mergeCell ref="A26:B26"/>
    <mergeCell ref="C26:AI26"/>
    <mergeCell ref="AJ26:AM26"/>
    <mergeCell ref="AN26:BC26"/>
    <mergeCell ref="A27:B27"/>
    <mergeCell ref="C27:AI27"/>
    <mergeCell ref="AJ27:AM27"/>
    <mergeCell ref="AN27:BC27"/>
    <mergeCell ref="A22:B22"/>
    <mergeCell ref="C22:AI22"/>
    <mergeCell ref="AJ22:AM22"/>
    <mergeCell ref="AN22:BC22"/>
    <mergeCell ref="A23:B23"/>
    <mergeCell ref="C23:AI23"/>
    <mergeCell ref="AJ23:AM23"/>
    <mergeCell ref="AN23:BC23"/>
    <mergeCell ref="A24:B24"/>
    <mergeCell ref="C24:AI24"/>
    <mergeCell ref="AJ24:AM24"/>
    <mergeCell ref="AN24:BC24"/>
    <mergeCell ref="A19:B19"/>
    <mergeCell ref="C19:AI19"/>
    <mergeCell ref="AJ19:AM19"/>
    <mergeCell ref="AN19:BC19"/>
    <mergeCell ref="A20:B20"/>
    <mergeCell ref="C20:AI20"/>
    <mergeCell ref="AJ20:AM20"/>
    <mergeCell ref="AN20:BC20"/>
    <mergeCell ref="A21:B21"/>
    <mergeCell ref="C21:AI21"/>
    <mergeCell ref="AJ21:AM21"/>
    <mergeCell ref="AN21:BC21"/>
    <mergeCell ref="A16:B16"/>
    <mergeCell ref="C16:AI16"/>
    <mergeCell ref="AJ16:AM16"/>
    <mergeCell ref="AN16:BC16"/>
    <mergeCell ref="A17:B17"/>
    <mergeCell ref="C17:AI17"/>
    <mergeCell ref="AJ17:AM17"/>
    <mergeCell ref="AN17:BC17"/>
    <mergeCell ref="A18:B18"/>
    <mergeCell ref="C18:AI18"/>
    <mergeCell ref="AJ18:AM18"/>
    <mergeCell ref="AN18:BC18"/>
    <mergeCell ref="A13:B13"/>
    <mergeCell ref="C13:AI13"/>
    <mergeCell ref="AJ13:AM13"/>
    <mergeCell ref="AN13:BC13"/>
    <mergeCell ref="A14:B14"/>
    <mergeCell ref="C14:AI14"/>
    <mergeCell ref="AJ14:AM14"/>
    <mergeCell ref="AN14:BC14"/>
    <mergeCell ref="A15:B15"/>
    <mergeCell ref="C15:AI15"/>
    <mergeCell ref="AJ15:AM15"/>
    <mergeCell ref="AN15:BC15"/>
    <mergeCell ref="A10:BC10"/>
    <mergeCell ref="A11:B11"/>
    <mergeCell ref="C11:AI11"/>
    <mergeCell ref="AJ11:AM11"/>
    <mergeCell ref="AN11:BC11"/>
    <mergeCell ref="A12:B12"/>
    <mergeCell ref="C12:AI12"/>
    <mergeCell ref="AJ12:AM12"/>
    <mergeCell ref="AN12:BC12"/>
    <mergeCell ref="A6:D8"/>
    <mergeCell ref="E6:N8"/>
    <mergeCell ref="O6:R8"/>
    <mergeCell ref="S6:AB8"/>
    <mergeCell ref="AC6:AH6"/>
    <mergeCell ref="AI6:AM6"/>
    <mergeCell ref="AN6:AS6"/>
    <mergeCell ref="AT6:AX6"/>
    <mergeCell ref="AC7:AH7"/>
    <mergeCell ref="AI7:AM7"/>
    <mergeCell ref="AN7:AS7"/>
    <mergeCell ref="AT7:AX7"/>
    <mergeCell ref="AC8:AH8"/>
    <mergeCell ref="AI8:AM8"/>
    <mergeCell ref="AN8:AS8"/>
    <mergeCell ref="AT8:AX8"/>
    <mergeCell ref="A2:I2"/>
    <mergeCell ref="J2:Q2"/>
    <mergeCell ref="R2:AI2"/>
    <mergeCell ref="AJ2:AN2"/>
    <mergeCell ref="AO2:AS2"/>
    <mergeCell ref="AT2:AX2"/>
    <mergeCell ref="AY2:BC2"/>
    <mergeCell ref="A3:I4"/>
    <mergeCell ref="J3:Q4"/>
    <mergeCell ref="R3:AI4"/>
    <mergeCell ref="AJ3:AN4"/>
    <mergeCell ref="AO3:AS4"/>
    <mergeCell ref="AT3:AX4"/>
    <mergeCell ref="AY3:BC4"/>
  </mergeCells>
  <phoneticPr fontId="7"/>
  <conditionalFormatting sqref="A12:AI27 AK12:AU27 A29:AI31 AK29:AU31 A33:AI35 AK33:AU35 A37:AI39 AK37:AU39 A41:AI43 AK41:AU43 A45:AI47 AK45:AU47 A49:AI51 AK49:AU51 A53:AI55 AK53:AU55">
    <cfRule type="expression" dxfId="20" priority="11">
      <formula>#REF!="NG"</formula>
    </cfRule>
    <cfRule type="expression" dxfId="19" priority="12">
      <formula>AND(#REF!="対応不要",#REF!="OK")</formula>
    </cfRule>
    <cfRule type="expression" dxfId="18" priority="13">
      <formula>AND(#REF!="完了",#REF!="OK")</formula>
    </cfRule>
  </conditionalFormatting>
  <conditionalFormatting sqref="A57:AI61 AK57:AU61">
    <cfRule type="expression" dxfId="17" priority="2">
      <formula>#REF!="NG"</formula>
    </cfRule>
    <cfRule type="expression" dxfId="16" priority="3">
      <formula>AND(#REF!="対応不要",#REF!="OK")</formula>
    </cfRule>
    <cfRule type="expression" dxfId="15" priority="4">
      <formula>AND(#REF!="完了",#REF!="OK")</formula>
    </cfRule>
  </conditionalFormatting>
  <conditionalFormatting sqref="A57:AU61">
    <cfRule type="expression" dxfId="14" priority="8">
      <formula>#REF!="NG"</formula>
    </cfRule>
    <cfRule type="expression" dxfId="13" priority="9">
      <formula>AND(#REF!="対応不要",#REF!="OK")</formula>
    </cfRule>
    <cfRule type="expression" dxfId="12" priority="10">
      <formula>AND(#REF!="完了",#REF!="OK")</formula>
    </cfRule>
  </conditionalFormatting>
  <conditionalFormatting sqref="AI8 AT8 A12:AU27 A29:AU31 A33:AU35 A37:AU39 A41:AU43 A45:AU47 A49:AU51 A53:AU55">
    <cfRule type="expression" dxfId="11" priority="17">
      <formula>#REF!="NG"</formula>
    </cfRule>
    <cfRule type="expression" dxfId="10" priority="18">
      <formula>AND(#REF!="対応不要",#REF!="OK")</formula>
    </cfRule>
    <cfRule type="expression" dxfId="9" priority="19">
      <formula>AND(#REF!="完了",#REF!="OK")</formula>
    </cfRule>
  </conditionalFormatting>
  <conditionalFormatting sqref="AI8 AT8 AJ12:AJ27 AJ29:AJ31 AJ33:AJ35 AJ37:AJ39 AJ41:AJ43 AJ45:AJ47 AJ49:AJ51 AJ53:AJ55">
    <cfRule type="expression" dxfId="8" priority="14">
      <formula>$AZ8="NG"</formula>
    </cfRule>
    <cfRule type="expression" dxfId="7" priority="15">
      <formula>AND($AV8="対応不要",$AZ8="OK")</formula>
    </cfRule>
    <cfRule type="expression" dxfId="6" priority="16">
      <formula>AND($AV8="完了",$AZ8="OK")</formula>
    </cfRule>
  </conditionalFormatting>
  <conditionalFormatting sqref="AJ57:AJ61">
    <cfRule type="expression" dxfId="5" priority="5">
      <formula>$AZ57="NG"</formula>
    </cfRule>
    <cfRule type="expression" dxfId="4" priority="6">
      <formula>AND($AV57="対応不要",$AZ57="OK")</formula>
    </cfRule>
    <cfRule type="expression" dxfId="3" priority="7">
      <formula>AND($AV57="完了",$AZ57="OK")</formula>
    </cfRule>
  </conditionalFormatting>
  <dataValidations count="3">
    <dataValidation type="list" allowBlank="1" showInputMessage="1" showErrorMessage="1" sqref="AI8 AT8" xr:uid="{00000000-0002-0000-0000-000000000000}">
      <formula1>",OK,NG"</formula1>
      <formula2>0</formula2>
    </dataValidation>
    <dataValidation type="list" allowBlank="1" showInputMessage="1" showErrorMessage="1" sqref="AJ12:AJ27 AJ29:AJ31 AJ33:AJ35 AJ37:AJ39 AJ41:AJ43 AJ45:AJ47 AJ49:AJ51 AJ53:AJ55 AJ57:AJ61" xr:uid="{00000000-0002-0000-0000-000001000000}">
      <formula1>",OK,NG,不要"</formula1>
      <formula2>0</formula2>
    </dataValidation>
    <dataValidation type="list" allowBlank="1" showInputMessage="1" showErrorMessage="1" sqref="AU6:AX6" xr:uid="{00000000-0002-0000-0000-000002000000}">
      <formula1>"書面,対面"</formula1>
      <formula2>0</formula2>
    </dataValidation>
  </dataValidations>
  <pageMargins left="0.78749999999999998" right="0.78749999999999998" top="1.05277777777778" bottom="1.05277777777778" header="0.78749999999999998" footer="0.78749999999999998"/>
  <pageSetup paperSize="9" scale="56" orientation="portrait" horizontalDpi="300" verticalDpi="300" r:id="rId1"/>
  <headerFooter>
    <oddHeader>&amp;C&amp;"Times New Roman,標準"&amp;12&amp;A</oddHeader>
    <oddFooter>&amp;C&amp;"Times New Roman,標準"&amp;12ページ &amp;P</oddFooter>
  </headerFooter>
  <rowBreaks count="1" manualBreakCount="1">
    <brk id="61" max="16383" man="1"/>
  </rowBreaks>
  <colBreaks count="1" manualBreakCount="1">
    <brk id="55"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C109"/>
  <sheetViews>
    <sheetView showGridLines="0" view="pageBreakPreview" zoomScaleNormal="100" workbookViewId="0">
      <selection activeCell="S6" sqref="S6:AB8"/>
    </sheetView>
  </sheetViews>
  <sheetFormatPr defaultColWidth="2.69140625" defaultRowHeight="13.3" x14ac:dyDescent="0.25"/>
  <sheetData>
    <row r="1" spans="1:55" ht="13.5" customHeight="1" x14ac:dyDescent="0.25"/>
    <row r="2" spans="1:55" ht="13.5" customHeight="1" x14ac:dyDescent="0.25">
      <c r="A2" s="26" t="s">
        <v>0</v>
      </c>
      <c r="B2" s="26"/>
      <c r="C2" s="26"/>
      <c r="D2" s="26"/>
      <c r="E2" s="26"/>
      <c r="F2" s="26"/>
      <c r="G2" s="26"/>
      <c r="H2" s="26"/>
      <c r="I2" s="26"/>
      <c r="J2" s="27" t="s">
        <v>1</v>
      </c>
      <c r="K2" s="27"/>
      <c r="L2" s="27"/>
      <c r="M2" s="27"/>
      <c r="N2" s="27"/>
      <c r="O2" s="27"/>
      <c r="P2" s="27"/>
      <c r="Q2" s="27"/>
      <c r="R2" s="28" t="s">
        <v>43</v>
      </c>
      <c r="S2" s="28"/>
      <c r="T2" s="28"/>
      <c r="U2" s="28"/>
      <c r="V2" s="28"/>
      <c r="W2" s="28"/>
      <c r="X2" s="28"/>
      <c r="Y2" s="28"/>
      <c r="Z2" s="28"/>
      <c r="AA2" s="28"/>
      <c r="AB2" s="28"/>
      <c r="AC2" s="28"/>
      <c r="AD2" s="28"/>
      <c r="AE2" s="28"/>
      <c r="AF2" s="28"/>
      <c r="AG2" s="28"/>
      <c r="AH2" s="28"/>
      <c r="AI2" s="28"/>
      <c r="AJ2" s="29" t="s">
        <v>3</v>
      </c>
      <c r="AK2" s="29"/>
      <c r="AL2" s="29"/>
      <c r="AM2" s="29"/>
      <c r="AN2" s="29"/>
      <c r="AO2" s="30" t="s">
        <v>4</v>
      </c>
      <c r="AP2" s="30"/>
      <c r="AQ2" s="30"/>
      <c r="AR2" s="30"/>
      <c r="AS2" s="30"/>
      <c r="AT2" s="30" t="s">
        <v>5</v>
      </c>
      <c r="AU2" s="30"/>
      <c r="AV2" s="30"/>
      <c r="AW2" s="30"/>
      <c r="AX2" s="30"/>
      <c r="AY2" s="31" t="s">
        <v>6</v>
      </c>
      <c r="AZ2" s="31"/>
      <c r="BA2" s="31"/>
      <c r="BB2" s="31"/>
      <c r="BC2" s="31"/>
    </row>
    <row r="3" spans="1:55" ht="24" customHeight="1" x14ac:dyDescent="0.25">
      <c r="A3" s="32" t="s">
        <v>7</v>
      </c>
      <c r="B3" s="32"/>
      <c r="C3" s="32"/>
      <c r="D3" s="32"/>
      <c r="E3" s="32"/>
      <c r="F3" s="32"/>
      <c r="G3" s="32"/>
      <c r="H3" s="32"/>
      <c r="I3" s="32"/>
      <c r="J3" s="33" t="s">
        <v>8</v>
      </c>
      <c r="K3" s="33"/>
      <c r="L3" s="33"/>
      <c r="M3" s="33"/>
      <c r="N3" s="33"/>
      <c r="O3" s="33"/>
      <c r="P3" s="33"/>
      <c r="Q3" s="33"/>
      <c r="R3" s="41" t="str">
        <f>E6&amp;" "&amp;S6</f>
        <v>detail.html
AttendanceController.java
StudentAttendanceService.java
TStudentAttendanceMapper.java
TStudentAttendanceMapper.xml Task.25 勤怠管理画面の機能追加</v>
      </c>
      <c r="S3" s="41"/>
      <c r="T3" s="41"/>
      <c r="U3" s="41"/>
      <c r="V3" s="41"/>
      <c r="W3" s="41"/>
      <c r="X3" s="41"/>
      <c r="Y3" s="41"/>
      <c r="Z3" s="41"/>
      <c r="AA3" s="41"/>
      <c r="AB3" s="41"/>
      <c r="AC3" s="41"/>
      <c r="AD3" s="41"/>
      <c r="AE3" s="41"/>
      <c r="AF3" s="41"/>
      <c r="AG3" s="41"/>
      <c r="AH3" s="41"/>
      <c r="AI3" s="41"/>
      <c r="AJ3" s="34" t="s">
        <v>83</v>
      </c>
      <c r="AK3" s="34"/>
      <c r="AL3" s="34"/>
      <c r="AM3" s="34"/>
      <c r="AN3" s="34"/>
      <c r="AO3" s="35">
        <v>46251</v>
      </c>
      <c r="AP3" s="35"/>
      <c r="AQ3" s="35"/>
      <c r="AR3" s="35"/>
      <c r="AS3" s="35"/>
      <c r="AT3" s="36"/>
      <c r="AU3" s="36"/>
      <c r="AV3" s="36"/>
      <c r="AW3" s="36"/>
      <c r="AX3" s="36"/>
      <c r="AY3" s="37"/>
      <c r="AZ3" s="37"/>
      <c r="BA3" s="37"/>
      <c r="BB3" s="37"/>
      <c r="BC3" s="37"/>
    </row>
    <row r="4" spans="1:55" ht="24" customHeight="1" x14ac:dyDescent="0.25">
      <c r="A4" s="32"/>
      <c r="B4" s="32"/>
      <c r="C4" s="32"/>
      <c r="D4" s="32"/>
      <c r="E4" s="32"/>
      <c r="F4" s="32"/>
      <c r="G4" s="32"/>
      <c r="H4" s="32"/>
      <c r="I4" s="32"/>
      <c r="J4" s="33"/>
      <c r="K4" s="33"/>
      <c r="L4" s="33"/>
      <c r="M4" s="33"/>
      <c r="N4" s="33"/>
      <c r="O4" s="33"/>
      <c r="P4" s="33"/>
      <c r="Q4" s="33"/>
      <c r="R4" s="41"/>
      <c r="S4" s="41"/>
      <c r="T4" s="41"/>
      <c r="U4" s="41"/>
      <c r="V4" s="41"/>
      <c r="W4" s="41"/>
      <c r="X4" s="41"/>
      <c r="Y4" s="41"/>
      <c r="Z4" s="41"/>
      <c r="AA4" s="41"/>
      <c r="AB4" s="41"/>
      <c r="AC4" s="41"/>
      <c r="AD4" s="41"/>
      <c r="AE4" s="41"/>
      <c r="AF4" s="41"/>
      <c r="AG4" s="41"/>
      <c r="AH4" s="41"/>
      <c r="AI4" s="41"/>
      <c r="AJ4" s="34"/>
      <c r="AK4" s="34"/>
      <c r="AL4" s="34"/>
      <c r="AM4" s="34"/>
      <c r="AN4" s="34"/>
      <c r="AO4" s="35"/>
      <c r="AP4" s="35"/>
      <c r="AQ4" s="35"/>
      <c r="AR4" s="35"/>
      <c r="AS4" s="35"/>
      <c r="AT4" s="36"/>
      <c r="AU4" s="36"/>
      <c r="AV4" s="36"/>
      <c r="AW4" s="36"/>
      <c r="AX4" s="36"/>
      <c r="AY4" s="37"/>
      <c r="AZ4" s="37"/>
      <c r="BA4" s="37"/>
      <c r="BB4" s="37"/>
      <c r="BC4" s="37"/>
    </row>
    <row r="5" spans="1:55" ht="8.4" customHeight="1" x14ac:dyDescent="0.25"/>
    <row r="6" spans="1:55" ht="18.649999999999999" customHeight="1" x14ac:dyDescent="0.25">
      <c r="A6" s="14" t="s">
        <v>10</v>
      </c>
      <c r="B6" s="14"/>
      <c r="C6" s="14"/>
      <c r="D6" s="14"/>
      <c r="E6" s="15" t="str">
        <f>レビュー前セルフチェック記録表_Task.25!E6</f>
        <v>detail.html
AttendanceController.java
StudentAttendanceService.java
TStudentAttendanceMapper.java
TStudentAttendanceMapper.xml</v>
      </c>
      <c r="F6" s="15"/>
      <c r="G6" s="15"/>
      <c r="H6" s="15"/>
      <c r="I6" s="15"/>
      <c r="J6" s="15"/>
      <c r="K6" s="15"/>
      <c r="L6" s="15"/>
      <c r="M6" s="15"/>
      <c r="N6" s="15"/>
      <c r="O6" s="14" t="s">
        <v>11</v>
      </c>
      <c r="P6" s="14"/>
      <c r="Q6" s="14"/>
      <c r="R6" s="14"/>
      <c r="S6" s="38" t="str">
        <f>レビュー前セルフチェック記録表_Task.25!S6</f>
        <v>Task.25 勤怠管理画面の機能追加</v>
      </c>
      <c r="T6" s="38"/>
      <c r="U6" s="38"/>
      <c r="V6" s="38"/>
      <c r="W6" s="38"/>
      <c r="X6" s="38"/>
      <c r="Y6" s="38"/>
      <c r="Z6" s="38"/>
      <c r="AA6" s="38"/>
      <c r="AB6" s="38"/>
      <c r="AC6" s="14" t="s">
        <v>44</v>
      </c>
      <c r="AD6" s="14"/>
      <c r="AE6" s="14"/>
      <c r="AF6" s="14"/>
      <c r="AG6" s="14"/>
      <c r="AH6" s="14"/>
      <c r="AI6" s="39"/>
      <c r="AJ6" s="39"/>
      <c r="AK6" s="39"/>
      <c r="AL6" s="39"/>
      <c r="AM6" s="39"/>
      <c r="AN6" s="14" t="s">
        <v>45</v>
      </c>
      <c r="AO6" s="14"/>
      <c r="AP6" s="14"/>
      <c r="AQ6" s="14"/>
      <c r="AR6" s="14"/>
      <c r="AS6" s="14"/>
      <c r="AT6" s="39" t="s">
        <v>70</v>
      </c>
      <c r="AU6" s="39"/>
      <c r="AV6" s="39"/>
      <c r="AW6" s="39"/>
      <c r="AX6" s="39"/>
      <c r="AY6" s="14" t="s">
        <v>46</v>
      </c>
      <c r="AZ6" s="14"/>
      <c r="BA6" s="14"/>
      <c r="BB6" s="14"/>
      <c r="BC6" s="14"/>
    </row>
    <row r="7" spans="1:55" ht="18.649999999999999" customHeight="1" x14ac:dyDescent="0.25">
      <c r="A7" s="14"/>
      <c r="B7" s="14"/>
      <c r="C7" s="14"/>
      <c r="D7" s="14"/>
      <c r="E7" s="15"/>
      <c r="F7" s="15"/>
      <c r="G7" s="15"/>
      <c r="H7" s="15"/>
      <c r="I7" s="15"/>
      <c r="J7" s="15"/>
      <c r="K7" s="15"/>
      <c r="L7" s="15"/>
      <c r="M7" s="15"/>
      <c r="N7" s="15"/>
      <c r="O7" s="14"/>
      <c r="P7" s="14"/>
      <c r="Q7" s="14"/>
      <c r="R7" s="14"/>
      <c r="S7" s="38"/>
      <c r="T7" s="38"/>
      <c r="U7" s="38"/>
      <c r="V7" s="38"/>
      <c r="W7" s="38"/>
      <c r="X7" s="38"/>
      <c r="Y7" s="38"/>
      <c r="Z7" s="38"/>
      <c r="AA7" s="38"/>
      <c r="AB7" s="38"/>
      <c r="AC7" s="14" t="s">
        <v>47</v>
      </c>
      <c r="AD7" s="14"/>
      <c r="AE7" s="14"/>
      <c r="AF7" s="14"/>
      <c r="AG7" s="14"/>
      <c r="AH7" s="14"/>
      <c r="AI7" s="40"/>
      <c r="AJ7" s="40"/>
      <c r="AK7" s="40"/>
      <c r="AL7" s="40"/>
      <c r="AM7" s="40"/>
      <c r="AN7" s="14" t="s">
        <v>48</v>
      </c>
      <c r="AO7" s="14"/>
      <c r="AP7" s="14"/>
      <c r="AQ7" s="14"/>
      <c r="AR7" s="14"/>
      <c r="AS7" s="14"/>
      <c r="AT7" s="40" t="s">
        <v>71</v>
      </c>
      <c r="AU7" s="40"/>
      <c r="AV7" s="40"/>
      <c r="AW7" s="40"/>
      <c r="AX7" s="40"/>
      <c r="AY7" s="20"/>
      <c r="AZ7" s="20"/>
      <c r="BA7" s="20"/>
      <c r="BB7" s="20"/>
      <c r="BC7" s="20"/>
    </row>
    <row r="8" spans="1:55" ht="18.649999999999999" customHeight="1" x14ac:dyDescent="0.25">
      <c r="A8" s="14"/>
      <c r="B8" s="14"/>
      <c r="C8" s="14"/>
      <c r="D8" s="14"/>
      <c r="E8" s="15"/>
      <c r="F8" s="15"/>
      <c r="G8" s="15"/>
      <c r="H8" s="15"/>
      <c r="I8" s="15"/>
      <c r="J8" s="15"/>
      <c r="K8" s="15"/>
      <c r="L8" s="15"/>
      <c r="M8" s="15"/>
      <c r="N8" s="15"/>
      <c r="O8" s="14"/>
      <c r="P8" s="14"/>
      <c r="Q8" s="14"/>
      <c r="R8" s="14"/>
      <c r="S8" s="38"/>
      <c r="T8" s="38"/>
      <c r="U8" s="38"/>
      <c r="V8" s="38"/>
      <c r="W8" s="38"/>
      <c r="X8" s="38"/>
      <c r="Y8" s="38"/>
      <c r="Z8" s="38"/>
      <c r="AA8" s="38"/>
      <c r="AB8" s="38"/>
      <c r="AC8" s="14" t="s">
        <v>49</v>
      </c>
      <c r="AD8" s="14"/>
      <c r="AE8" s="14"/>
      <c r="AF8" s="14"/>
      <c r="AG8" s="14"/>
      <c r="AH8" s="14"/>
      <c r="AI8" s="40"/>
      <c r="AJ8" s="40"/>
      <c r="AK8" s="40"/>
      <c r="AL8" s="40"/>
      <c r="AM8" s="40"/>
      <c r="AN8" s="14" t="s">
        <v>50</v>
      </c>
      <c r="AO8" s="14"/>
      <c r="AP8" s="14"/>
      <c r="AQ8" s="14"/>
      <c r="AR8" s="14"/>
      <c r="AS8" s="14"/>
      <c r="AT8" s="40"/>
      <c r="AU8" s="40"/>
      <c r="AV8" s="40"/>
      <c r="AW8" s="40"/>
      <c r="AX8" s="40"/>
      <c r="AY8" s="20"/>
      <c r="AZ8" s="20"/>
      <c r="BA8" s="20"/>
      <c r="BB8" s="20"/>
      <c r="BC8" s="20"/>
    </row>
    <row r="9" spans="1:55" x14ac:dyDescent="0.25">
      <c r="A9" s="14" t="s">
        <v>18</v>
      </c>
      <c r="B9" s="14"/>
      <c r="C9" s="14" t="s">
        <v>51</v>
      </c>
      <c r="D9" s="14"/>
      <c r="E9" s="14"/>
      <c r="F9" s="14"/>
      <c r="G9" s="14"/>
      <c r="H9" s="14"/>
      <c r="I9" s="14"/>
      <c r="J9" s="14"/>
      <c r="K9" s="14"/>
      <c r="L9" s="14" t="s">
        <v>52</v>
      </c>
      <c r="M9" s="14"/>
      <c r="N9" s="14"/>
      <c r="O9" s="14"/>
      <c r="P9" s="14"/>
      <c r="Q9" s="14"/>
      <c r="R9" s="14"/>
      <c r="S9" s="14"/>
      <c r="T9" s="14"/>
      <c r="U9" s="14"/>
      <c r="V9" s="14"/>
      <c r="W9" s="14"/>
      <c r="X9" s="14" t="s">
        <v>53</v>
      </c>
      <c r="Y9" s="14"/>
      <c r="Z9" s="14"/>
      <c r="AA9" s="14"/>
      <c r="AB9" s="14"/>
      <c r="AC9" s="14"/>
      <c r="AD9" s="14"/>
      <c r="AE9" s="14"/>
      <c r="AF9" s="14"/>
      <c r="AG9" s="14"/>
      <c r="AH9" s="14"/>
      <c r="AI9" s="14"/>
      <c r="AJ9" s="14" t="s">
        <v>54</v>
      </c>
      <c r="AK9" s="14"/>
      <c r="AL9" s="14"/>
      <c r="AM9" s="14"/>
      <c r="AN9" s="14"/>
      <c r="AO9" s="14"/>
      <c r="AP9" s="14"/>
      <c r="AQ9" s="14"/>
      <c r="AR9" s="14"/>
      <c r="AS9" s="14"/>
      <c r="AT9" s="14"/>
      <c r="AU9" s="14"/>
      <c r="AV9" s="14" t="s">
        <v>55</v>
      </c>
      <c r="AW9" s="14"/>
      <c r="AX9" s="14"/>
      <c r="AY9" s="14"/>
      <c r="AZ9" s="14" t="s">
        <v>20</v>
      </c>
      <c r="BA9" s="14"/>
      <c r="BB9" s="14"/>
      <c r="BC9" s="14"/>
    </row>
    <row r="10" spans="1:55" ht="12.75" customHeight="1" x14ac:dyDescent="0.25">
      <c r="A10" s="22">
        <f ca="1">MAX(A$9:INDIRECT("A"&amp;ROW()-1))+1</f>
        <v>1</v>
      </c>
      <c r="B10" s="22"/>
      <c r="C10" s="24"/>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c r="AE10" s="24"/>
      <c r="AF10" s="24"/>
      <c r="AG10" s="24"/>
      <c r="AH10" s="24"/>
      <c r="AI10" s="24"/>
      <c r="AJ10" s="24"/>
      <c r="AK10" s="24"/>
      <c r="AL10" s="24"/>
      <c r="AM10" s="24"/>
      <c r="AN10" s="24"/>
      <c r="AO10" s="24"/>
      <c r="AP10" s="24"/>
      <c r="AQ10" s="24"/>
      <c r="AR10" s="24"/>
      <c r="AS10" s="24"/>
      <c r="AT10" s="24"/>
      <c r="AU10" s="24"/>
      <c r="AV10" s="20"/>
      <c r="AW10" s="20"/>
      <c r="AX10" s="20"/>
      <c r="AY10" s="20"/>
      <c r="AZ10" s="20"/>
      <c r="BA10" s="20"/>
      <c r="BB10" s="20"/>
      <c r="BC10" s="20"/>
    </row>
    <row r="11" spans="1:55" x14ac:dyDescent="0.25">
      <c r="A11" s="22"/>
      <c r="B11" s="22"/>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0"/>
      <c r="AW11" s="20"/>
      <c r="AX11" s="20"/>
      <c r="AY11" s="20"/>
      <c r="AZ11" s="20"/>
      <c r="BA11" s="20"/>
      <c r="BB11" s="20"/>
      <c r="BC11" s="20"/>
    </row>
    <row r="12" spans="1:55" x14ac:dyDescent="0.25">
      <c r="A12" s="22"/>
      <c r="B12" s="22"/>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0"/>
      <c r="AW12" s="20"/>
      <c r="AX12" s="20"/>
      <c r="AY12" s="20"/>
      <c r="AZ12" s="20"/>
      <c r="BA12" s="20"/>
      <c r="BB12" s="20"/>
      <c r="BC12" s="20"/>
    </row>
    <row r="13" spans="1:55" x14ac:dyDescent="0.25">
      <c r="A13" s="22"/>
      <c r="B13" s="22"/>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0"/>
      <c r="AW13" s="20"/>
      <c r="AX13" s="20"/>
      <c r="AY13" s="20"/>
      <c r="AZ13" s="20"/>
      <c r="BA13" s="20"/>
      <c r="BB13" s="20"/>
      <c r="BC13" s="20"/>
    </row>
    <row r="14" spans="1:55" x14ac:dyDescent="0.25">
      <c r="A14" s="22"/>
      <c r="B14" s="22"/>
      <c r="C14" s="24"/>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c r="AS14" s="24"/>
      <c r="AT14" s="24"/>
      <c r="AU14" s="24"/>
      <c r="AV14" s="20"/>
      <c r="AW14" s="20"/>
      <c r="AX14" s="20"/>
      <c r="AY14" s="20"/>
      <c r="AZ14" s="20"/>
      <c r="BA14" s="20"/>
      <c r="BB14" s="20"/>
      <c r="BC14" s="20"/>
    </row>
    <row r="15" spans="1:55" x14ac:dyDescent="0.25">
      <c r="A15" s="22">
        <f ca="1">MAX(A$9:INDIRECT("A"&amp;ROW()-1))+1</f>
        <v>2</v>
      </c>
      <c r="B15" s="22"/>
      <c r="C15" s="24"/>
      <c r="D15" s="24"/>
      <c r="E15" s="24"/>
      <c r="F15" s="24"/>
      <c r="G15" s="24"/>
      <c r="H15" s="24"/>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0"/>
      <c r="AW15" s="20"/>
      <c r="AX15" s="20"/>
      <c r="AY15" s="20"/>
      <c r="AZ15" s="20"/>
      <c r="BA15" s="20"/>
      <c r="BB15" s="20"/>
      <c r="BC15" s="20"/>
    </row>
    <row r="16" spans="1:55" x14ac:dyDescent="0.25">
      <c r="A16" s="22"/>
      <c r="B16" s="22"/>
      <c r="C16" s="24"/>
      <c r="D16" s="24"/>
      <c r="E16" s="24"/>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c r="AS16" s="24"/>
      <c r="AT16" s="24"/>
      <c r="AU16" s="24"/>
      <c r="AV16" s="20"/>
      <c r="AW16" s="20"/>
      <c r="AX16" s="20"/>
      <c r="AY16" s="20"/>
      <c r="AZ16" s="20"/>
      <c r="BA16" s="20"/>
      <c r="BB16" s="20"/>
      <c r="BC16" s="20"/>
    </row>
    <row r="17" spans="1:55" x14ac:dyDescent="0.25">
      <c r="A17" s="22"/>
      <c r="B17" s="22"/>
      <c r="C17" s="24"/>
      <c r="D17" s="24"/>
      <c r="E17" s="24"/>
      <c r="F17" s="24"/>
      <c r="G17" s="24"/>
      <c r="H17" s="24"/>
      <c r="I17" s="24"/>
      <c r="J17" s="24"/>
      <c r="K17" s="24"/>
      <c r="L17" s="24"/>
      <c r="M17" s="24"/>
      <c r="N17" s="24"/>
      <c r="O17" s="24"/>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c r="AS17" s="24"/>
      <c r="AT17" s="24"/>
      <c r="AU17" s="24"/>
      <c r="AV17" s="20"/>
      <c r="AW17" s="20"/>
      <c r="AX17" s="20"/>
      <c r="AY17" s="20"/>
      <c r="AZ17" s="20"/>
      <c r="BA17" s="20"/>
      <c r="BB17" s="20"/>
      <c r="BC17" s="20"/>
    </row>
    <row r="18" spans="1:55" x14ac:dyDescent="0.25">
      <c r="A18" s="22"/>
      <c r="B18" s="22"/>
      <c r="C18" s="24"/>
      <c r="D18" s="24"/>
      <c r="E18" s="24"/>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c r="AS18" s="24"/>
      <c r="AT18" s="24"/>
      <c r="AU18" s="24"/>
      <c r="AV18" s="20"/>
      <c r="AW18" s="20"/>
      <c r="AX18" s="20"/>
      <c r="AY18" s="20"/>
      <c r="AZ18" s="20"/>
      <c r="BA18" s="20"/>
      <c r="BB18" s="20"/>
      <c r="BC18" s="20"/>
    </row>
    <row r="19" spans="1:55" x14ac:dyDescent="0.25">
      <c r="A19" s="22"/>
      <c r="B19" s="22"/>
      <c r="C19" s="24"/>
      <c r="D19" s="24"/>
      <c r="E19" s="24"/>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24"/>
      <c r="AS19" s="24"/>
      <c r="AT19" s="24"/>
      <c r="AU19" s="24"/>
      <c r="AV19" s="20"/>
      <c r="AW19" s="20"/>
      <c r="AX19" s="20"/>
      <c r="AY19" s="20"/>
      <c r="AZ19" s="20"/>
      <c r="BA19" s="20"/>
      <c r="BB19" s="20"/>
      <c r="BC19" s="20"/>
    </row>
    <row r="20" spans="1:55" x14ac:dyDescent="0.25">
      <c r="A20" s="22">
        <f ca="1">MAX(A$9:INDIRECT("A"&amp;ROW()-1))+1</f>
        <v>3</v>
      </c>
      <c r="B20" s="22"/>
      <c r="C20" s="24"/>
      <c r="D20" s="24"/>
      <c r="E20" s="24"/>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c r="AS20" s="24"/>
      <c r="AT20" s="24"/>
      <c r="AU20" s="24"/>
      <c r="AV20" s="20"/>
      <c r="AW20" s="20"/>
      <c r="AX20" s="20"/>
      <c r="AY20" s="20"/>
      <c r="AZ20" s="20"/>
      <c r="BA20" s="20"/>
      <c r="BB20" s="20"/>
      <c r="BC20" s="20"/>
    </row>
    <row r="21" spans="1:55" x14ac:dyDescent="0.25">
      <c r="A21" s="22"/>
      <c r="B21" s="22"/>
      <c r="C21" s="24"/>
      <c r="D21" s="24"/>
      <c r="E21" s="24"/>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0"/>
      <c r="AW21" s="20"/>
      <c r="AX21" s="20"/>
      <c r="AY21" s="20"/>
      <c r="AZ21" s="20"/>
      <c r="BA21" s="20"/>
      <c r="BB21" s="20"/>
      <c r="BC21" s="20"/>
    </row>
    <row r="22" spans="1:55" x14ac:dyDescent="0.25">
      <c r="A22" s="22"/>
      <c r="B22" s="22"/>
      <c r="C22" s="24"/>
      <c r="D22" s="24"/>
      <c r="E22" s="24"/>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0"/>
      <c r="AW22" s="20"/>
      <c r="AX22" s="20"/>
      <c r="AY22" s="20"/>
      <c r="AZ22" s="20"/>
      <c r="BA22" s="20"/>
      <c r="BB22" s="20"/>
      <c r="BC22" s="20"/>
    </row>
    <row r="23" spans="1:55" x14ac:dyDescent="0.25">
      <c r="A23" s="22"/>
      <c r="B23" s="22"/>
      <c r="C23" s="24"/>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0"/>
      <c r="AW23" s="20"/>
      <c r="AX23" s="20"/>
      <c r="AY23" s="20"/>
      <c r="AZ23" s="20"/>
      <c r="BA23" s="20"/>
      <c r="BB23" s="20"/>
      <c r="BC23" s="20"/>
    </row>
    <row r="24" spans="1:55" x14ac:dyDescent="0.25">
      <c r="A24" s="22"/>
      <c r="B24" s="22"/>
      <c r="C24" s="24"/>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0"/>
      <c r="AW24" s="20"/>
      <c r="AX24" s="20"/>
      <c r="AY24" s="20"/>
      <c r="AZ24" s="20"/>
      <c r="BA24" s="20"/>
      <c r="BB24" s="20"/>
      <c r="BC24" s="20"/>
    </row>
    <row r="25" spans="1:55" x14ac:dyDescent="0.25">
      <c r="A25" s="22">
        <f ca="1">MAX(A$9:INDIRECT("A"&amp;ROW()-1))+1</f>
        <v>4</v>
      </c>
      <c r="B25" s="22"/>
      <c r="C25" s="24"/>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0"/>
      <c r="AW25" s="20"/>
      <c r="AX25" s="20"/>
      <c r="AY25" s="20"/>
      <c r="AZ25" s="20"/>
      <c r="BA25" s="20"/>
      <c r="BB25" s="20"/>
      <c r="BC25" s="20"/>
    </row>
    <row r="26" spans="1:55" x14ac:dyDescent="0.25">
      <c r="A26" s="22"/>
      <c r="B26" s="22"/>
      <c r="C26" s="24"/>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0"/>
      <c r="AW26" s="20"/>
      <c r="AX26" s="20"/>
      <c r="AY26" s="20"/>
      <c r="AZ26" s="20"/>
      <c r="BA26" s="20"/>
      <c r="BB26" s="20"/>
      <c r="BC26" s="20"/>
    </row>
    <row r="27" spans="1:55" x14ac:dyDescent="0.25">
      <c r="A27" s="22"/>
      <c r="B27" s="22"/>
      <c r="C27" s="24"/>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0"/>
      <c r="AW27" s="20"/>
      <c r="AX27" s="20"/>
      <c r="AY27" s="20"/>
      <c r="AZ27" s="20"/>
      <c r="BA27" s="20"/>
      <c r="BB27" s="20"/>
      <c r="BC27" s="20"/>
    </row>
    <row r="28" spans="1:55" x14ac:dyDescent="0.25">
      <c r="A28" s="22"/>
      <c r="B28" s="22"/>
      <c r="C28" s="24"/>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0"/>
      <c r="AW28" s="20"/>
      <c r="AX28" s="20"/>
      <c r="AY28" s="20"/>
      <c r="AZ28" s="20"/>
      <c r="BA28" s="20"/>
      <c r="BB28" s="20"/>
      <c r="BC28" s="20"/>
    </row>
    <row r="29" spans="1:55" x14ac:dyDescent="0.25">
      <c r="A29" s="22"/>
      <c r="B29" s="22"/>
      <c r="C29" s="24"/>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0"/>
      <c r="AW29" s="20"/>
      <c r="AX29" s="20"/>
      <c r="AY29" s="20"/>
      <c r="AZ29" s="20"/>
      <c r="BA29" s="20"/>
      <c r="BB29" s="20"/>
      <c r="BC29" s="20"/>
    </row>
    <row r="30" spans="1:55" x14ac:dyDescent="0.25">
      <c r="A30" s="22">
        <f ca="1">MAX(A$9:INDIRECT("A"&amp;ROW()-1))+1</f>
        <v>5</v>
      </c>
      <c r="B30" s="22"/>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0"/>
      <c r="AW30" s="20"/>
      <c r="AX30" s="20"/>
      <c r="AY30" s="20"/>
      <c r="AZ30" s="20"/>
      <c r="BA30" s="20"/>
      <c r="BB30" s="20"/>
      <c r="BC30" s="20"/>
    </row>
    <row r="31" spans="1:55" x14ac:dyDescent="0.25">
      <c r="A31" s="22"/>
      <c r="B31" s="22"/>
      <c r="C31" s="24"/>
      <c r="D31" s="24"/>
      <c r="E31" s="24"/>
      <c r="F31" s="24"/>
      <c r="G31" s="24"/>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0"/>
      <c r="AW31" s="20"/>
      <c r="AX31" s="20"/>
      <c r="AY31" s="20"/>
      <c r="AZ31" s="20"/>
      <c r="BA31" s="20"/>
      <c r="BB31" s="20"/>
      <c r="BC31" s="20"/>
    </row>
    <row r="32" spans="1:55" x14ac:dyDescent="0.25">
      <c r="A32" s="22"/>
      <c r="B32" s="22"/>
      <c r="C32" s="24"/>
      <c r="D32" s="24"/>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0"/>
      <c r="AW32" s="20"/>
      <c r="AX32" s="20"/>
      <c r="AY32" s="20"/>
      <c r="AZ32" s="20"/>
      <c r="BA32" s="20"/>
      <c r="BB32" s="20"/>
      <c r="BC32" s="20"/>
    </row>
    <row r="33" spans="1:55" x14ac:dyDescent="0.25">
      <c r="A33" s="22"/>
      <c r="B33" s="22"/>
      <c r="C33" s="24"/>
      <c r="D33" s="24"/>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0"/>
      <c r="AW33" s="20"/>
      <c r="AX33" s="20"/>
      <c r="AY33" s="20"/>
      <c r="AZ33" s="20"/>
      <c r="BA33" s="20"/>
      <c r="BB33" s="20"/>
      <c r="BC33" s="20"/>
    </row>
    <row r="34" spans="1:55" x14ac:dyDescent="0.25">
      <c r="A34" s="22"/>
      <c r="B34" s="22"/>
      <c r="C34" s="24"/>
      <c r="D34" s="24"/>
      <c r="E34" s="24"/>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0"/>
      <c r="AW34" s="20"/>
      <c r="AX34" s="20"/>
      <c r="AY34" s="20"/>
      <c r="AZ34" s="20"/>
      <c r="BA34" s="20"/>
      <c r="BB34" s="20"/>
      <c r="BC34" s="20"/>
    </row>
    <row r="35" spans="1:55" x14ac:dyDescent="0.25">
      <c r="A35" s="22">
        <f ca="1">MAX(A$9:INDIRECT("A"&amp;ROW()-1))+1</f>
        <v>6</v>
      </c>
      <c r="B35" s="22"/>
      <c r="C35" s="24"/>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0"/>
      <c r="AW35" s="20"/>
      <c r="AX35" s="20"/>
      <c r="AY35" s="20"/>
      <c r="AZ35" s="20"/>
      <c r="BA35" s="20"/>
      <c r="BB35" s="20"/>
      <c r="BC35" s="20"/>
    </row>
    <row r="36" spans="1:55" x14ac:dyDescent="0.25">
      <c r="A36" s="22"/>
      <c r="B36" s="22"/>
      <c r="C36" s="24"/>
      <c r="D36" s="24"/>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0"/>
      <c r="AW36" s="20"/>
      <c r="AX36" s="20"/>
      <c r="AY36" s="20"/>
      <c r="AZ36" s="20"/>
      <c r="BA36" s="20"/>
      <c r="BB36" s="20"/>
      <c r="BC36" s="20"/>
    </row>
    <row r="37" spans="1:55" x14ac:dyDescent="0.25">
      <c r="A37" s="22"/>
      <c r="B37" s="22"/>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0"/>
      <c r="AW37" s="20"/>
      <c r="AX37" s="20"/>
      <c r="AY37" s="20"/>
      <c r="AZ37" s="20"/>
      <c r="BA37" s="20"/>
      <c r="BB37" s="20"/>
      <c r="BC37" s="20"/>
    </row>
    <row r="38" spans="1:55" x14ac:dyDescent="0.25">
      <c r="A38" s="22"/>
      <c r="B38" s="22"/>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0"/>
      <c r="AW38" s="20"/>
      <c r="AX38" s="20"/>
      <c r="AY38" s="20"/>
      <c r="AZ38" s="20"/>
      <c r="BA38" s="20"/>
      <c r="BB38" s="20"/>
      <c r="BC38" s="20"/>
    </row>
    <row r="39" spans="1:55" x14ac:dyDescent="0.25">
      <c r="A39" s="22"/>
      <c r="B39" s="22"/>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0"/>
      <c r="AW39" s="20"/>
      <c r="AX39" s="20"/>
      <c r="AY39" s="20"/>
      <c r="AZ39" s="20"/>
      <c r="BA39" s="20"/>
      <c r="BB39" s="20"/>
      <c r="BC39" s="20"/>
    </row>
    <row r="40" spans="1:55" x14ac:dyDescent="0.25">
      <c r="A40" s="22">
        <f ca="1">MAX(A$9:INDIRECT("A"&amp;ROW()-1))+1</f>
        <v>7</v>
      </c>
      <c r="B40" s="22"/>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0"/>
      <c r="AW40" s="20"/>
      <c r="AX40" s="20"/>
      <c r="AY40" s="20"/>
      <c r="AZ40" s="20"/>
      <c r="BA40" s="20"/>
      <c r="BB40" s="20"/>
      <c r="BC40" s="20"/>
    </row>
    <row r="41" spans="1:55" x14ac:dyDescent="0.25">
      <c r="A41" s="22"/>
      <c r="B41" s="22"/>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0"/>
      <c r="AW41" s="20"/>
      <c r="AX41" s="20"/>
      <c r="AY41" s="20"/>
      <c r="AZ41" s="20"/>
      <c r="BA41" s="20"/>
      <c r="BB41" s="20"/>
      <c r="BC41" s="20"/>
    </row>
    <row r="42" spans="1:55" x14ac:dyDescent="0.25">
      <c r="A42" s="22"/>
      <c r="B42" s="22"/>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0"/>
      <c r="AW42" s="20"/>
      <c r="AX42" s="20"/>
      <c r="AY42" s="20"/>
      <c r="AZ42" s="20"/>
      <c r="BA42" s="20"/>
      <c r="BB42" s="20"/>
      <c r="BC42" s="20"/>
    </row>
    <row r="43" spans="1:55" x14ac:dyDescent="0.25">
      <c r="A43" s="22"/>
      <c r="B43" s="22"/>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0"/>
      <c r="AW43" s="20"/>
      <c r="AX43" s="20"/>
      <c r="AY43" s="20"/>
      <c r="AZ43" s="20"/>
      <c r="BA43" s="20"/>
      <c r="BB43" s="20"/>
      <c r="BC43" s="20"/>
    </row>
    <row r="44" spans="1:55" x14ac:dyDescent="0.25">
      <c r="A44" s="22"/>
      <c r="B44" s="22"/>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0"/>
      <c r="AW44" s="20"/>
      <c r="AX44" s="20"/>
      <c r="AY44" s="20"/>
      <c r="AZ44" s="20"/>
      <c r="BA44" s="20"/>
      <c r="BB44" s="20"/>
      <c r="BC44" s="20"/>
    </row>
    <row r="45" spans="1:55" x14ac:dyDescent="0.25">
      <c r="A45" s="22">
        <f ca="1">MAX(A$9:INDIRECT("A"&amp;ROW()-1))+1</f>
        <v>8</v>
      </c>
      <c r="B45" s="22"/>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0"/>
      <c r="AW45" s="20"/>
      <c r="AX45" s="20"/>
      <c r="AY45" s="20"/>
      <c r="AZ45" s="20"/>
      <c r="BA45" s="20"/>
      <c r="BB45" s="20"/>
      <c r="BC45" s="20"/>
    </row>
    <row r="46" spans="1:55" x14ac:dyDescent="0.25">
      <c r="A46" s="22"/>
      <c r="B46" s="22"/>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0"/>
      <c r="AW46" s="20"/>
      <c r="AX46" s="20"/>
      <c r="AY46" s="20"/>
      <c r="AZ46" s="20"/>
      <c r="BA46" s="20"/>
      <c r="BB46" s="20"/>
      <c r="BC46" s="20"/>
    </row>
    <row r="47" spans="1:55" x14ac:dyDescent="0.25">
      <c r="A47" s="22"/>
      <c r="B47" s="22"/>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0"/>
      <c r="AW47" s="20"/>
      <c r="AX47" s="20"/>
      <c r="AY47" s="20"/>
      <c r="AZ47" s="20"/>
      <c r="BA47" s="20"/>
      <c r="BB47" s="20"/>
      <c r="BC47" s="20"/>
    </row>
    <row r="48" spans="1:55" x14ac:dyDescent="0.25">
      <c r="A48" s="22"/>
      <c r="B48" s="22"/>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0"/>
      <c r="AW48" s="20"/>
      <c r="AX48" s="20"/>
      <c r="AY48" s="20"/>
      <c r="AZ48" s="20"/>
      <c r="BA48" s="20"/>
      <c r="BB48" s="20"/>
      <c r="BC48" s="20"/>
    </row>
    <row r="49" spans="1:55" x14ac:dyDescent="0.25">
      <c r="A49" s="22"/>
      <c r="B49" s="22"/>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0"/>
      <c r="AW49" s="20"/>
      <c r="AX49" s="20"/>
      <c r="AY49" s="20"/>
      <c r="AZ49" s="20"/>
      <c r="BA49" s="20"/>
      <c r="BB49" s="20"/>
      <c r="BC49" s="20"/>
    </row>
    <row r="50" spans="1:55" x14ac:dyDescent="0.25">
      <c r="A50" s="22">
        <f ca="1">MAX(A$9:INDIRECT("A"&amp;ROW()-1))+1</f>
        <v>9</v>
      </c>
      <c r="B50" s="22"/>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0"/>
      <c r="AW50" s="20"/>
      <c r="AX50" s="20"/>
      <c r="AY50" s="20"/>
      <c r="AZ50" s="20"/>
      <c r="BA50" s="20"/>
      <c r="BB50" s="20"/>
      <c r="BC50" s="20"/>
    </row>
    <row r="51" spans="1:55" x14ac:dyDescent="0.25">
      <c r="A51" s="22"/>
      <c r="B51" s="22"/>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0"/>
      <c r="AW51" s="20"/>
      <c r="AX51" s="20"/>
      <c r="AY51" s="20"/>
      <c r="AZ51" s="20"/>
      <c r="BA51" s="20"/>
      <c r="BB51" s="20"/>
      <c r="BC51" s="20"/>
    </row>
    <row r="52" spans="1:55" x14ac:dyDescent="0.25">
      <c r="A52" s="22"/>
      <c r="B52" s="22"/>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0"/>
      <c r="AW52" s="20"/>
      <c r="AX52" s="20"/>
      <c r="AY52" s="20"/>
      <c r="AZ52" s="20"/>
      <c r="BA52" s="20"/>
      <c r="BB52" s="20"/>
      <c r="BC52" s="20"/>
    </row>
    <row r="53" spans="1:55" x14ac:dyDescent="0.25">
      <c r="A53" s="22"/>
      <c r="B53" s="22"/>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0"/>
      <c r="AW53" s="20"/>
      <c r="AX53" s="20"/>
      <c r="AY53" s="20"/>
      <c r="AZ53" s="20"/>
      <c r="BA53" s="20"/>
      <c r="BB53" s="20"/>
      <c r="BC53" s="20"/>
    </row>
    <row r="54" spans="1:55" x14ac:dyDescent="0.25">
      <c r="A54" s="22"/>
      <c r="B54" s="22"/>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0"/>
      <c r="AW54" s="20"/>
      <c r="AX54" s="20"/>
      <c r="AY54" s="20"/>
      <c r="AZ54" s="20"/>
      <c r="BA54" s="20"/>
      <c r="BB54" s="20"/>
      <c r="BC54" s="20"/>
    </row>
    <row r="55" spans="1:55" x14ac:dyDescent="0.25">
      <c r="A55" s="22">
        <f ca="1">MAX(A$9:INDIRECT("A"&amp;ROW()-1))+1</f>
        <v>10</v>
      </c>
      <c r="B55" s="22"/>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0"/>
      <c r="AW55" s="20"/>
      <c r="AX55" s="20"/>
      <c r="AY55" s="20"/>
      <c r="AZ55" s="20"/>
      <c r="BA55" s="20"/>
      <c r="BB55" s="20"/>
      <c r="BC55" s="20"/>
    </row>
    <row r="56" spans="1:55" x14ac:dyDescent="0.25">
      <c r="A56" s="22"/>
      <c r="B56" s="22"/>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0"/>
      <c r="AW56" s="20"/>
      <c r="AX56" s="20"/>
      <c r="AY56" s="20"/>
      <c r="AZ56" s="20"/>
      <c r="BA56" s="20"/>
      <c r="BB56" s="20"/>
      <c r="BC56" s="20"/>
    </row>
    <row r="57" spans="1:55" x14ac:dyDescent="0.25">
      <c r="A57" s="22"/>
      <c r="B57" s="22"/>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0"/>
      <c r="AW57" s="20"/>
      <c r="AX57" s="20"/>
      <c r="AY57" s="20"/>
      <c r="AZ57" s="20"/>
      <c r="BA57" s="20"/>
      <c r="BB57" s="20"/>
      <c r="BC57" s="20"/>
    </row>
    <row r="58" spans="1:55" x14ac:dyDescent="0.25">
      <c r="A58" s="22"/>
      <c r="B58" s="22"/>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0"/>
      <c r="AW58" s="20"/>
      <c r="AX58" s="20"/>
      <c r="AY58" s="20"/>
      <c r="AZ58" s="20"/>
      <c r="BA58" s="20"/>
      <c r="BB58" s="20"/>
      <c r="BC58" s="20"/>
    </row>
    <row r="59" spans="1:55" x14ac:dyDescent="0.25">
      <c r="A59" s="22"/>
      <c r="B59" s="22"/>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0"/>
      <c r="AW59" s="20"/>
      <c r="AX59" s="20"/>
      <c r="AY59" s="20"/>
      <c r="AZ59" s="20"/>
      <c r="BA59" s="20"/>
      <c r="BB59" s="20"/>
      <c r="BC59" s="20"/>
    </row>
    <row r="60" spans="1:55" x14ac:dyDescent="0.25">
      <c r="A60" s="22">
        <f ca="1">MAX(A$9:INDIRECT("A"&amp;ROW()-1))+1</f>
        <v>11</v>
      </c>
      <c r="B60" s="22"/>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0"/>
      <c r="AW60" s="20"/>
      <c r="AX60" s="20"/>
      <c r="AY60" s="20"/>
      <c r="AZ60" s="20"/>
      <c r="BA60" s="20"/>
      <c r="BB60" s="20"/>
      <c r="BC60" s="20"/>
    </row>
    <row r="61" spans="1:55" x14ac:dyDescent="0.25">
      <c r="A61" s="22"/>
      <c r="B61" s="22"/>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0"/>
      <c r="AW61" s="20"/>
      <c r="AX61" s="20"/>
      <c r="AY61" s="20"/>
      <c r="AZ61" s="20"/>
      <c r="BA61" s="20"/>
      <c r="BB61" s="20"/>
      <c r="BC61" s="20"/>
    </row>
    <row r="62" spans="1:55" x14ac:dyDescent="0.25">
      <c r="A62" s="22"/>
      <c r="B62" s="22"/>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0"/>
      <c r="AW62" s="20"/>
      <c r="AX62" s="20"/>
      <c r="AY62" s="20"/>
      <c r="AZ62" s="20"/>
      <c r="BA62" s="20"/>
      <c r="BB62" s="20"/>
      <c r="BC62" s="20"/>
    </row>
    <row r="63" spans="1:55" x14ac:dyDescent="0.25">
      <c r="A63" s="22"/>
      <c r="B63" s="22"/>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0"/>
      <c r="AW63" s="20"/>
      <c r="AX63" s="20"/>
      <c r="AY63" s="20"/>
      <c r="AZ63" s="20"/>
      <c r="BA63" s="20"/>
      <c r="BB63" s="20"/>
      <c r="BC63" s="20"/>
    </row>
    <row r="64" spans="1:55" x14ac:dyDescent="0.25">
      <c r="A64" s="22"/>
      <c r="B64" s="22"/>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0"/>
      <c r="AW64" s="20"/>
      <c r="AX64" s="20"/>
      <c r="AY64" s="20"/>
      <c r="AZ64" s="20"/>
      <c r="BA64" s="20"/>
      <c r="BB64" s="20"/>
      <c r="BC64" s="20"/>
    </row>
    <row r="65" spans="1:55" x14ac:dyDescent="0.25">
      <c r="A65" s="22">
        <f ca="1">MAX(A$9:INDIRECT("A"&amp;ROW()-1))+1</f>
        <v>12</v>
      </c>
      <c r="B65" s="22"/>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0"/>
      <c r="AW65" s="20"/>
      <c r="AX65" s="20"/>
      <c r="AY65" s="20"/>
      <c r="AZ65" s="20"/>
      <c r="BA65" s="20"/>
      <c r="BB65" s="20"/>
      <c r="BC65" s="20"/>
    </row>
    <row r="66" spans="1:55" x14ac:dyDescent="0.25">
      <c r="A66" s="22"/>
      <c r="B66" s="22"/>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0"/>
      <c r="AW66" s="20"/>
      <c r="AX66" s="20"/>
      <c r="AY66" s="20"/>
      <c r="AZ66" s="20"/>
      <c r="BA66" s="20"/>
      <c r="BB66" s="20"/>
      <c r="BC66" s="20"/>
    </row>
    <row r="67" spans="1:55" x14ac:dyDescent="0.25">
      <c r="A67" s="22"/>
      <c r="B67" s="22"/>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0"/>
      <c r="AW67" s="20"/>
      <c r="AX67" s="20"/>
      <c r="AY67" s="20"/>
      <c r="AZ67" s="20"/>
      <c r="BA67" s="20"/>
      <c r="BB67" s="20"/>
      <c r="BC67" s="20"/>
    </row>
    <row r="68" spans="1:55" x14ac:dyDescent="0.25">
      <c r="A68" s="22"/>
      <c r="B68" s="22"/>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0"/>
      <c r="AW68" s="20"/>
      <c r="AX68" s="20"/>
      <c r="AY68" s="20"/>
      <c r="AZ68" s="20"/>
      <c r="BA68" s="20"/>
      <c r="BB68" s="20"/>
      <c r="BC68" s="20"/>
    </row>
    <row r="69" spans="1:55" x14ac:dyDescent="0.25">
      <c r="A69" s="22"/>
      <c r="B69" s="22"/>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0"/>
      <c r="AW69" s="20"/>
      <c r="AX69" s="20"/>
      <c r="AY69" s="20"/>
      <c r="AZ69" s="20"/>
      <c r="BA69" s="20"/>
      <c r="BB69" s="20"/>
      <c r="BC69" s="20"/>
    </row>
    <row r="70" spans="1:55" x14ac:dyDescent="0.25">
      <c r="A70" s="22">
        <f ca="1">MAX(A$9:INDIRECT("A"&amp;ROW()-1))+1</f>
        <v>13</v>
      </c>
      <c r="B70" s="22"/>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0"/>
      <c r="AW70" s="20"/>
      <c r="AX70" s="20"/>
      <c r="AY70" s="20"/>
      <c r="AZ70" s="20"/>
      <c r="BA70" s="20"/>
      <c r="BB70" s="20"/>
      <c r="BC70" s="20"/>
    </row>
    <row r="71" spans="1:55" x14ac:dyDescent="0.25">
      <c r="A71" s="22"/>
      <c r="B71" s="22"/>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0"/>
      <c r="AW71" s="20"/>
      <c r="AX71" s="20"/>
      <c r="AY71" s="20"/>
      <c r="AZ71" s="20"/>
      <c r="BA71" s="20"/>
      <c r="BB71" s="20"/>
      <c r="BC71" s="20"/>
    </row>
    <row r="72" spans="1:55" x14ac:dyDescent="0.25">
      <c r="A72" s="22"/>
      <c r="B72" s="22"/>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0"/>
      <c r="AW72" s="20"/>
      <c r="AX72" s="20"/>
      <c r="AY72" s="20"/>
      <c r="AZ72" s="20"/>
      <c r="BA72" s="20"/>
      <c r="BB72" s="20"/>
      <c r="BC72" s="20"/>
    </row>
    <row r="73" spans="1:55" x14ac:dyDescent="0.25">
      <c r="A73" s="22"/>
      <c r="B73" s="22"/>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0"/>
      <c r="AW73" s="20"/>
      <c r="AX73" s="20"/>
      <c r="AY73" s="20"/>
      <c r="AZ73" s="20"/>
      <c r="BA73" s="20"/>
      <c r="BB73" s="20"/>
      <c r="BC73" s="20"/>
    </row>
    <row r="74" spans="1:55" x14ac:dyDescent="0.25">
      <c r="A74" s="22"/>
      <c r="B74" s="22"/>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0"/>
      <c r="AW74" s="20"/>
      <c r="AX74" s="20"/>
      <c r="AY74" s="20"/>
      <c r="AZ74" s="20"/>
      <c r="BA74" s="20"/>
      <c r="BB74" s="20"/>
      <c r="BC74" s="20"/>
    </row>
    <row r="75" spans="1:55" x14ac:dyDescent="0.25">
      <c r="A75" s="22">
        <f ca="1">MAX(A$9:INDIRECT("A"&amp;ROW()-1))+1</f>
        <v>14</v>
      </c>
      <c r="B75" s="22"/>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0"/>
      <c r="AW75" s="20"/>
      <c r="AX75" s="20"/>
      <c r="AY75" s="20"/>
      <c r="AZ75" s="20"/>
      <c r="BA75" s="20"/>
      <c r="BB75" s="20"/>
      <c r="BC75" s="20"/>
    </row>
    <row r="76" spans="1:55" x14ac:dyDescent="0.25">
      <c r="A76" s="22"/>
      <c r="B76" s="22"/>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0"/>
      <c r="AW76" s="20"/>
      <c r="AX76" s="20"/>
      <c r="AY76" s="20"/>
      <c r="AZ76" s="20"/>
      <c r="BA76" s="20"/>
      <c r="BB76" s="20"/>
      <c r="BC76" s="20"/>
    </row>
    <row r="77" spans="1:55" x14ac:dyDescent="0.25">
      <c r="A77" s="22"/>
      <c r="B77" s="22"/>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0"/>
      <c r="AW77" s="20"/>
      <c r="AX77" s="20"/>
      <c r="AY77" s="20"/>
      <c r="AZ77" s="20"/>
      <c r="BA77" s="20"/>
      <c r="BB77" s="20"/>
      <c r="BC77" s="20"/>
    </row>
    <row r="78" spans="1:55" x14ac:dyDescent="0.25">
      <c r="A78" s="22"/>
      <c r="B78" s="22"/>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0"/>
      <c r="AW78" s="20"/>
      <c r="AX78" s="20"/>
      <c r="AY78" s="20"/>
      <c r="AZ78" s="20"/>
      <c r="BA78" s="20"/>
      <c r="BB78" s="20"/>
      <c r="BC78" s="20"/>
    </row>
    <row r="79" spans="1:55" x14ac:dyDescent="0.25">
      <c r="A79" s="22"/>
      <c r="B79" s="22"/>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0"/>
      <c r="AW79" s="20"/>
      <c r="AX79" s="20"/>
      <c r="AY79" s="20"/>
      <c r="AZ79" s="20"/>
      <c r="BA79" s="20"/>
      <c r="BB79" s="20"/>
      <c r="BC79" s="20"/>
    </row>
    <row r="80" spans="1:55" x14ac:dyDescent="0.25">
      <c r="A80" s="22">
        <f ca="1">MAX(A$9:INDIRECT("A"&amp;ROW()-1))+1</f>
        <v>15</v>
      </c>
      <c r="B80" s="22"/>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0"/>
      <c r="AW80" s="20"/>
      <c r="AX80" s="20"/>
      <c r="AY80" s="20"/>
      <c r="AZ80" s="20"/>
      <c r="BA80" s="20"/>
      <c r="BB80" s="20"/>
      <c r="BC80" s="20"/>
    </row>
    <row r="81" spans="1:55" x14ac:dyDescent="0.25">
      <c r="A81" s="22"/>
      <c r="B81" s="22"/>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0"/>
      <c r="AW81" s="20"/>
      <c r="AX81" s="20"/>
      <c r="AY81" s="20"/>
      <c r="AZ81" s="20"/>
      <c r="BA81" s="20"/>
      <c r="BB81" s="20"/>
      <c r="BC81" s="20"/>
    </row>
    <row r="82" spans="1:55" x14ac:dyDescent="0.25">
      <c r="A82" s="22"/>
      <c r="B82" s="22"/>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0"/>
      <c r="AW82" s="20"/>
      <c r="AX82" s="20"/>
      <c r="AY82" s="20"/>
      <c r="AZ82" s="20"/>
      <c r="BA82" s="20"/>
      <c r="BB82" s="20"/>
      <c r="BC82" s="20"/>
    </row>
    <row r="83" spans="1:55" x14ac:dyDescent="0.25">
      <c r="A83" s="22"/>
      <c r="B83" s="22"/>
      <c r="C83" s="24"/>
      <c r="D83" s="24"/>
      <c r="E83" s="24"/>
      <c r="F83" s="24"/>
      <c r="G83" s="24"/>
      <c r="H83" s="24"/>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0"/>
      <c r="AW83" s="20"/>
      <c r="AX83" s="20"/>
      <c r="AY83" s="20"/>
      <c r="AZ83" s="20"/>
      <c r="BA83" s="20"/>
      <c r="BB83" s="20"/>
      <c r="BC83" s="20"/>
    </row>
    <row r="84" spans="1:55" x14ac:dyDescent="0.25">
      <c r="A84" s="22"/>
      <c r="B84" s="22"/>
      <c r="C84" s="24"/>
      <c r="D84" s="24"/>
      <c r="E84" s="24"/>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0"/>
      <c r="AW84" s="20"/>
      <c r="AX84" s="20"/>
      <c r="AY84" s="20"/>
      <c r="AZ84" s="20"/>
      <c r="BA84" s="20"/>
      <c r="BB84" s="20"/>
      <c r="BC84" s="20"/>
    </row>
    <row r="85" spans="1:55" x14ac:dyDescent="0.25">
      <c r="A85" s="22">
        <f ca="1">MAX(A$9:INDIRECT("A"&amp;ROW()-1))+1</f>
        <v>16</v>
      </c>
      <c r="B85" s="22"/>
      <c r="C85" s="24"/>
      <c r="D85" s="24"/>
      <c r="E85" s="24"/>
      <c r="F85" s="24"/>
      <c r="G85" s="24"/>
      <c r="H85" s="24"/>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0"/>
      <c r="AW85" s="20"/>
      <c r="AX85" s="20"/>
      <c r="AY85" s="20"/>
      <c r="AZ85" s="20"/>
      <c r="BA85" s="20"/>
      <c r="BB85" s="20"/>
      <c r="BC85" s="20"/>
    </row>
    <row r="86" spans="1:55" x14ac:dyDescent="0.25">
      <c r="A86" s="22"/>
      <c r="B86" s="22"/>
      <c r="C86" s="24"/>
      <c r="D86" s="24"/>
      <c r="E86" s="24"/>
      <c r="F86" s="24"/>
      <c r="G86" s="24"/>
      <c r="H86" s="24"/>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0"/>
      <c r="AW86" s="20"/>
      <c r="AX86" s="20"/>
      <c r="AY86" s="20"/>
      <c r="AZ86" s="20"/>
      <c r="BA86" s="20"/>
      <c r="BB86" s="20"/>
      <c r="BC86" s="20"/>
    </row>
    <row r="87" spans="1:55" x14ac:dyDescent="0.25">
      <c r="A87" s="22"/>
      <c r="B87" s="22"/>
      <c r="C87" s="24"/>
      <c r="D87" s="24"/>
      <c r="E87" s="24"/>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0"/>
      <c r="AW87" s="20"/>
      <c r="AX87" s="20"/>
      <c r="AY87" s="20"/>
      <c r="AZ87" s="20"/>
      <c r="BA87" s="20"/>
      <c r="BB87" s="20"/>
      <c r="BC87" s="20"/>
    </row>
    <row r="88" spans="1:55" x14ac:dyDescent="0.25">
      <c r="A88" s="22"/>
      <c r="B88" s="22"/>
      <c r="C88" s="24"/>
      <c r="D88" s="24"/>
      <c r="E88" s="24"/>
      <c r="F88" s="24"/>
      <c r="G88" s="24"/>
      <c r="H88" s="24"/>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0"/>
      <c r="AW88" s="20"/>
      <c r="AX88" s="20"/>
      <c r="AY88" s="20"/>
      <c r="AZ88" s="20"/>
      <c r="BA88" s="20"/>
      <c r="BB88" s="20"/>
      <c r="BC88" s="20"/>
    </row>
    <row r="89" spans="1:55" x14ac:dyDescent="0.25">
      <c r="A89" s="22"/>
      <c r="B89" s="22"/>
      <c r="C89" s="24"/>
      <c r="D89" s="24"/>
      <c r="E89" s="24"/>
      <c r="F89" s="24"/>
      <c r="G89" s="24"/>
      <c r="H89" s="24"/>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0"/>
      <c r="AW89" s="20"/>
      <c r="AX89" s="20"/>
      <c r="AY89" s="20"/>
      <c r="AZ89" s="20"/>
      <c r="BA89" s="20"/>
      <c r="BB89" s="20"/>
      <c r="BC89" s="20"/>
    </row>
    <row r="90" spans="1:55" x14ac:dyDescent="0.25">
      <c r="A90" s="22">
        <f ca="1">MAX(A$9:INDIRECT("A"&amp;ROW()-1))+1</f>
        <v>17</v>
      </c>
      <c r="B90" s="22"/>
      <c r="C90" s="24"/>
      <c r="D90" s="24"/>
      <c r="E90" s="24"/>
      <c r="F90" s="24"/>
      <c r="G90" s="24"/>
      <c r="H90" s="24"/>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0"/>
      <c r="AW90" s="20"/>
      <c r="AX90" s="20"/>
      <c r="AY90" s="20"/>
      <c r="AZ90" s="20"/>
      <c r="BA90" s="20"/>
      <c r="BB90" s="20"/>
      <c r="BC90" s="20"/>
    </row>
    <row r="91" spans="1:55" x14ac:dyDescent="0.25">
      <c r="A91" s="22"/>
      <c r="B91" s="22"/>
      <c r="C91" s="24"/>
      <c r="D91" s="24"/>
      <c r="E91" s="24"/>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0"/>
      <c r="AW91" s="20"/>
      <c r="AX91" s="20"/>
      <c r="AY91" s="20"/>
      <c r="AZ91" s="20"/>
      <c r="BA91" s="20"/>
      <c r="BB91" s="20"/>
      <c r="BC91" s="20"/>
    </row>
    <row r="92" spans="1:55" x14ac:dyDescent="0.25">
      <c r="A92" s="22"/>
      <c r="B92" s="22"/>
      <c r="C92" s="24"/>
      <c r="D92" s="24"/>
      <c r="E92" s="24"/>
      <c r="F92" s="24"/>
      <c r="G92" s="24"/>
      <c r="H92" s="24"/>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0"/>
      <c r="AW92" s="20"/>
      <c r="AX92" s="20"/>
      <c r="AY92" s="20"/>
      <c r="AZ92" s="20"/>
      <c r="BA92" s="20"/>
      <c r="BB92" s="20"/>
      <c r="BC92" s="20"/>
    </row>
    <row r="93" spans="1:55" x14ac:dyDescent="0.25">
      <c r="A93" s="22"/>
      <c r="B93" s="22"/>
      <c r="C93" s="24"/>
      <c r="D93" s="24"/>
      <c r="E93" s="24"/>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0"/>
      <c r="AW93" s="20"/>
      <c r="AX93" s="20"/>
      <c r="AY93" s="20"/>
      <c r="AZ93" s="20"/>
      <c r="BA93" s="20"/>
      <c r="BB93" s="20"/>
      <c r="BC93" s="20"/>
    </row>
    <row r="94" spans="1:55" x14ac:dyDescent="0.25">
      <c r="A94" s="22"/>
      <c r="B94" s="22"/>
      <c r="C94" s="24"/>
      <c r="D94" s="24"/>
      <c r="E94" s="24"/>
      <c r="F94" s="24"/>
      <c r="G94" s="24"/>
      <c r="H94" s="24"/>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0"/>
      <c r="AW94" s="20"/>
      <c r="AX94" s="20"/>
      <c r="AY94" s="20"/>
      <c r="AZ94" s="20"/>
      <c r="BA94" s="20"/>
      <c r="BB94" s="20"/>
      <c r="BC94" s="20"/>
    </row>
    <row r="95" spans="1:55" x14ac:dyDescent="0.25">
      <c r="A95" s="22">
        <f ca="1">MAX(A$9:INDIRECT("A"&amp;ROW()-1))+1</f>
        <v>18</v>
      </c>
      <c r="B95" s="22"/>
      <c r="C95" s="24"/>
      <c r="D95" s="24"/>
      <c r="E95" s="24"/>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0"/>
      <c r="AW95" s="20"/>
      <c r="AX95" s="20"/>
      <c r="AY95" s="20"/>
      <c r="AZ95" s="20"/>
      <c r="BA95" s="20"/>
      <c r="BB95" s="20"/>
      <c r="BC95" s="20"/>
    </row>
    <row r="96" spans="1:55" x14ac:dyDescent="0.25">
      <c r="A96" s="22"/>
      <c r="B96" s="22"/>
      <c r="C96" s="24"/>
      <c r="D96" s="24"/>
      <c r="E96" s="24"/>
      <c r="F96" s="24"/>
      <c r="G96" s="24"/>
      <c r="H96" s="24"/>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0"/>
      <c r="AW96" s="20"/>
      <c r="AX96" s="20"/>
      <c r="AY96" s="20"/>
      <c r="AZ96" s="20"/>
      <c r="BA96" s="20"/>
      <c r="BB96" s="20"/>
      <c r="BC96" s="20"/>
    </row>
    <row r="97" spans="1:55" x14ac:dyDescent="0.25">
      <c r="A97" s="22"/>
      <c r="B97" s="22"/>
      <c r="C97" s="24"/>
      <c r="D97" s="24"/>
      <c r="E97" s="24"/>
      <c r="F97" s="24"/>
      <c r="G97" s="24"/>
      <c r="H97" s="24"/>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0"/>
      <c r="AW97" s="20"/>
      <c r="AX97" s="20"/>
      <c r="AY97" s="20"/>
      <c r="AZ97" s="20"/>
      <c r="BA97" s="20"/>
      <c r="BB97" s="20"/>
      <c r="BC97" s="20"/>
    </row>
    <row r="98" spans="1:55" x14ac:dyDescent="0.25">
      <c r="A98" s="22"/>
      <c r="B98" s="22"/>
      <c r="C98" s="24"/>
      <c r="D98" s="24"/>
      <c r="E98" s="24"/>
      <c r="F98" s="24"/>
      <c r="G98" s="24"/>
      <c r="H98" s="24"/>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0"/>
      <c r="AW98" s="20"/>
      <c r="AX98" s="20"/>
      <c r="AY98" s="20"/>
      <c r="AZ98" s="20"/>
      <c r="BA98" s="20"/>
      <c r="BB98" s="20"/>
      <c r="BC98" s="20"/>
    </row>
    <row r="99" spans="1:55" x14ac:dyDescent="0.25">
      <c r="A99" s="22"/>
      <c r="B99" s="22"/>
      <c r="C99" s="24"/>
      <c r="D99" s="24"/>
      <c r="E99" s="24"/>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0"/>
      <c r="AW99" s="20"/>
      <c r="AX99" s="20"/>
      <c r="AY99" s="20"/>
      <c r="AZ99" s="20"/>
      <c r="BA99" s="20"/>
      <c r="BB99" s="20"/>
      <c r="BC99" s="20"/>
    </row>
    <row r="100" spans="1:55" x14ac:dyDescent="0.25">
      <c r="A100" s="22">
        <f ca="1">MAX(A$9:INDIRECT("A"&amp;ROW()-1))+1</f>
        <v>19</v>
      </c>
      <c r="B100" s="22"/>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0"/>
      <c r="AW100" s="20"/>
      <c r="AX100" s="20"/>
      <c r="AY100" s="20"/>
      <c r="AZ100" s="20"/>
      <c r="BA100" s="20"/>
      <c r="BB100" s="20"/>
      <c r="BC100" s="20"/>
    </row>
    <row r="101" spans="1:55" x14ac:dyDescent="0.25">
      <c r="A101" s="22"/>
      <c r="B101" s="22"/>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0"/>
      <c r="AW101" s="20"/>
      <c r="AX101" s="20"/>
      <c r="AY101" s="20"/>
      <c r="AZ101" s="20"/>
      <c r="BA101" s="20"/>
      <c r="BB101" s="20"/>
      <c r="BC101" s="20"/>
    </row>
    <row r="102" spans="1:55" x14ac:dyDescent="0.25">
      <c r="A102" s="22"/>
      <c r="B102" s="22"/>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0"/>
      <c r="AW102" s="20"/>
      <c r="AX102" s="20"/>
      <c r="AY102" s="20"/>
      <c r="AZ102" s="20"/>
      <c r="BA102" s="20"/>
      <c r="BB102" s="20"/>
      <c r="BC102" s="20"/>
    </row>
    <row r="103" spans="1:55" x14ac:dyDescent="0.25">
      <c r="A103" s="22"/>
      <c r="B103" s="22"/>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0"/>
      <c r="AW103" s="20"/>
      <c r="AX103" s="20"/>
      <c r="AY103" s="20"/>
      <c r="AZ103" s="20"/>
      <c r="BA103" s="20"/>
      <c r="BB103" s="20"/>
      <c r="BC103" s="20"/>
    </row>
    <row r="104" spans="1:55" x14ac:dyDescent="0.25">
      <c r="A104" s="22"/>
      <c r="B104" s="22"/>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0"/>
      <c r="AW104" s="20"/>
      <c r="AX104" s="20"/>
      <c r="AY104" s="20"/>
      <c r="AZ104" s="20"/>
      <c r="BA104" s="20"/>
      <c r="BB104" s="20"/>
      <c r="BC104" s="20"/>
    </row>
    <row r="105" spans="1:55" x14ac:dyDescent="0.25">
      <c r="A105" s="22">
        <f ca="1">MAX(A$9:INDIRECT("A"&amp;ROW()-1))+1</f>
        <v>20</v>
      </c>
      <c r="B105" s="22"/>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0"/>
      <c r="AW105" s="20"/>
      <c r="AX105" s="20"/>
      <c r="AY105" s="20"/>
      <c r="AZ105" s="20"/>
      <c r="BA105" s="20"/>
      <c r="BB105" s="20"/>
      <c r="BC105" s="20"/>
    </row>
    <row r="106" spans="1:55" x14ac:dyDescent="0.25">
      <c r="A106" s="22"/>
      <c r="B106" s="22"/>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0"/>
      <c r="AW106" s="20"/>
      <c r="AX106" s="20"/>
      <c r="AY106" s="20"/>
      <c r="AZ106" s="20"/>
      <c r="BA106" s="20"/>
      <c r="BB106" s="20"/>
      <c r="BC106" s="20"/>
    </row>
    <row r="107" spans="1:55" x14ac:dyDescent="0.25">
      <c r="A107" s="22"/>
      <c r="B107" s="22"/>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0"/>
      <c r="AW107" s="20"/>
      <c r="AX107" s="20"/>
      <c r="AY107" s="20"/>
      <c r="AZ107" s="20"/>
      <c r="BA107" s="20"/>
      <c r="BB107" s="20"/>
      <c r="BC107" s="20"/>
    </row>
    <row r="108" spans="1:55" x14ac:dyDescent="0.25">
      <c r="A108" s="22"/>
      <c r="B108" s="22"/>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0"/>
      <c r="AW108" s="20"/>
      <c r="AX108" s="20"/>
      <c r="AY108" s="20"/>
      <c r="AZ108" s="20"/>
      <c r="BA108" s="20"/>
      <c r="BB108" s="20"/>
      <c r="BC108" s="20"/>
    </row>
    <row r="109" spans="1:55" x14ac:dyDescent="0.25">
      <c r="A109" s="22"/>
      <c r="B109" s="22"/>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0"/>
      <c r="AW109" s="20"/>
      <c r="AX109" s="20"/>
      <c r="AY109" s="20"/>
      <c r="AZ109" s="20"/>
      <c r="BA109" s="20"/>
      <c r="BB109" s="20"/>
      <c r="BC109" s="20"/>
    </row>
  </sheetData>
  <mergeCells count="179">
    <mergeCell ref="A105:B109"/>
    <mergeCell ref="C105:K109"/>
    <mergeCell ref="L105:W109"/>
    <mergeCell ref="X105:AI109"/>
    <mergeCell ref="AJ105:AU109"/>
    <mergeCell ref="AV105:AY109"/>
    <mergeCell ref="AZ105:BC109"/>
    <mergeCell ref="A95:B99"/>
    <mergeCell ref="C95:K99"/>
    <mergeCell ref="L95:W99"/>
    <mergeCell ref="X95:AI99"/>
    <mergeCell ref="AJ95:AU99"/>
    <mergeCell ref="AV95:AY99"/>
    <mergeCell ref="AZ95:BC99"/>
    <mergeCell ref="A100:B104"/>
    <mergeCell ref="C100:K104"/>
    <mergeCell ref="L100:W104"/>
    <mergeCell ref="X100:AI104"/>
    <mergeCell ref="AJ100:AU104"/>
    <mergeCell ref="AV100:AY104"/>
    <mergeCell ref="AZ100:BC104"/>
    <mergeCell ref="A85:B89"/>
    <mergeCell ref="C85:K89"/>
    <mergeCell ref="L85:W89"/>
    <mergeCell ref="X85:AI89"/>
    <mergeCell ref="AJ85:AU89"/>
    <mergeCell ref="AV85:AY89"/>
    <mergeCell ref="AZ85:BC89"/>
    <mergeCell ref="A90:B94"/>
    <mergeCell ref="C90:K94"/>
    <mergeCell ref="L90:W94"/>
    <mergeCell ref="X90:AI94"/>
    <mergeCell ref="AJ90:AU94"/>
    <mergeCell ref="AV90:AY94"/>
    <mergeCell ref="AZ90:BC94"/>
    <mergeCell ref="A75:B79"/>
    <mergeCell ref="C75:K79"/>
    <mergeCell ref="L75:W79"/>
    <mergeCell ref="X75:AI79"/>
    <mergeCell ref="AJ75:AU79"/>
    <mergeCell ref="AV75:AY79"/>
    <mergeCell ref="AZ75:BC79"/>
    <mergeCell ref="A80:B84"/>
    <mergeCell ref="C80:K84"/>
    <mergeCell ref="L80:W84"/>
    <mergeCell ref="X80:AI84"/>
    <mergeCell ref="AJ80:AU84"/>
    <mergeCell ref="AV80:AY84"/>
    <mergeCell ref="AZ80:BC84"/>
    <mergeCell ref="A65:B69"/>
    <mergeCell ref="C65:K69"/>
    <mergeCell ref="L65:W69"/>
    <mergeCell ref="X65:AI69"/>
    <mergeCell ref="AJ65:AU69"/>
    <mergeCell ref="AV65:AY69"/>
    <mergeCell ref="AZ65:BC69"/>
    <mergeCell ref="A70:B74"/>
    <mergeCell ref="C70:K74"/>
    <mergeCell ref="L70:W74"/>
    <mergeCell ref="X70:AI74"/>
    <mergeCell ref="AJ70:AU74"/>
    <mergeCell ref="AV70:AY74"/>
    <mergeCell ref="AZ70:BC74"/>
    <mergeCell ref="A55:B59"/>
    <mergeCell ref="C55:K59"/>
    <mergeCell ref="L55:W59"/>
    <mergeCell ref="X55:AI59"/>
    <mergeCell ref="AJ55:AU59"/>
    <mergeCell ref="AV55:AY59"/>
    <mergeCell ref="AZ55:BC59"/>
    <mergeCell ref="A60:B64"/>
    <mergeCell ref="C60:K64"/>
    <mergeCell ref="L60:W64"/>
    <mergeCell ref="X60:AI64"/>
    <mergeCell ref="AJ60:AU64"/>
    <mergeCell ref="AV60:AY64"/>
    <mergeCell ref="AZ60:BC64"/>
    <mergeCell ref="A45:B49"/>
    <mergeCell ref="C45:K49"/>
    <mergeCell ref="L45:W49"/>
    <mergeCell ref="X45:AI49"/>
    <mergeCell ref="AJ45:AU49"/>
    <mergeCell ref="AV45:AY49"/>
    <mergeCell ref="AZ45:BC49"/>
    <mergeCell ref="A50:B54"/>
    <mergeCell ref="C50:K54"/>
    <mergeCell ref="L50:W54"/>
    <mergeCell ref="X50:AI54"/>
    <mergeCell ref="AJ50:AU54"/>
    <mergeCell ref="AV50:AY54"/>
    <mergeCell ref="AZ50:BC54"/>
    <mergeCell ref="A35:B39"/>
    <mergeCell ref="C35:K39"/>
    <mergeCell ref="L35:W39"/>
    <mergeCell ref="X35:AI39"/>
    <mergeCell ref="AJ35:AU39"/>
    <mergeCell ref="AV35:AY39"/>
    <mergeCell ref="AZ35:BC39"/>
    <mergeCell ref="A40:B44"/>
    <mergeCell ref="C40:K44"/>
    <mergeCell ref="L40:W44"/>
    <mergeCell ref="X40:AI44"/>
    <mergeCell ref="AJ40:AU44"/>
    <mergeCell ref="AV40:AY44"/>
    <mergeCell ref="AZ40:BC44"/>
    <mergeCell ref="A25:B29"/>
    <mergeCell ref="C25:K29"/>
    <mergeCell ref="L25:W29"/>
    <mergeCell ref="X25:AI29"/>
    <mergeCell ref="AJ25:AU29"/>
    <mergeCell ref="AV25:AY29"/>
    <mergeCell ref="AZ25:BC29"/>
    <mergeCell ref="A30:B34"/>
    <mergeCell ref="C30:K34"/>
    <mergeCell ref="L30:W34"/>
    <mergeCell ref="X30:AI34"/>
    <mergeCell ref="AJ30:AU34"/>
    <mergeCell ref="AV30:AY34"/>
    <mergeCell ref="AZ30:BC34"/>
    <mergeCell ref="A15:B19"/>
    <mergeCell ref="C15:K19"/>
    <mergeCell ref="L15:W19"/>
    <mergeCell ref="X15:AI19"/>
    <mergeCell ref="AJ15:AU19"/>
    <mergeCell ref="AV15:AY19"/>
    <mergeCell ref="AZ15:BC19"/>
    <mergeCell ref="A20:B24"/>
    <mergeCell ref="C20:K24"/>
    <mergeCell ref="L20:W24"/>
    <mergeCell ref="X20:AI24"/>
    <mergeCell ref="AJ20:AU24"/>
    <mergeCell ref="AV20:AY24"/>
    <mergeCell ref="AZ20:BC24"/>
    <mergeCell ref="A9:B9"/>
    <mergeCell ref="C9:K9"/>
    <mergeCell ref="L9:W9"/>
    <mergeCell ref="X9:AI9"/>
    <mergeCell ref="AJ9:AU9"/>
    <mergeCell ref="AV9:AY9"/>
    <mergeCell ref="AZ9:BC9"/>
    <mergeCell ref="A10:B14"/>
    <mergeCell ref="C10:K14"/>
    <mergeCell ref="L10:W14"/>
    <mergeCell ref="X10:AI14"/>
    <mergeCell ref="AJ10:AU14"/>
    <mergeCell ref="AV10:AY14"/>
    <mergeCell ref="AZ10:BC14"/>
    <mergeCell ref="A6:D8"/>
    <mergeCell ref="E6:N8"/>
    <mergeCell ref="O6:R8"/>
    <mergeCell ref="S6:AB8"/>
    <mergeCell ref="AC6:AH6"/>
    <mergeCell ref="AI6:AM6"/>
    <mergeCell ref="AN6:AS6"/>
    <mergeCell ref="AT6:AX6"/>
    <mergeCell ref="AY6:BC6"/>
    <mergeCell ref="AC7:AH7"/>
    <mergeCell ref="AI7:AM7"/>
    <mergeCell ref="AN7:AS7"/>
    <mergeCell ref="AT7:AX7"/>
    <mergeCell ref="AY7:BC8"/>
    <mergeCell ref="AC8:AH8"/>
    <mergeCell ref="AI8:AM8"/>
    <mergeCell ref="AN8:AS8"/>
    <mergeCell ref="AT8:AX8"/>
    <mergeCell ref="A2:I2"/>
    <mergeCell ref="J2:Q2"/>
    <mergeCell ref="R2:AI2"/>
    <mergeCell ref="AJ2:AN2"/>
    <mergeCell ref="AO2:AS2"/>
    <mergeCell ref="AT2:AX2"/>
    <mergeCell ref="AY2:BC2"/>
    <mergeCell ref="A3:I4"/>
    <mergeCell ref="J3:Q4"/>
    <mergeCell ref="R3:AI4"/>
    <mergeCell ref="AJ3:AN4"/>
    <mergeCell ref="AO3:AS4"/>
    <mergeCell ref="AT3:AX4"/>
    <mergeCell ref="AY3:BC4"/>
  </mergeCells>
  <phoneticPr fontId="7"/>
  <conditionalFormatting sqref="A10:BC109">
    <cfRule type="expression" dxfId="2" priority="2">
      <formula>$AZ10="NG"</formula>
    </cfRule>
    <cfRule type="expression" dxfId="1" priority="3">
      <formula>AND($AV10="対応不要",$AZ10="OK")</formula>
    </cfRule>
    <cfRule type="expression" dxfId="0" priority="4">
      <formula>AND($AV10="完了",$AZ10="OK")</formula>
    </cfRule>
  </conditionalFormatting>
  <dataValidations count="4">
    <dataValidation type="list" allowBlank="1" showInputMessage="1" showErrorMessage="1" sqref="AV10:AY109" xr:uid="{00000000-0002-0000-0200-000000000000}">
      <formula1>"着手中,完了,対応不要"</formula1>
      <formula2>0</formula2>
    </dataValidation>
    <dataValidation type="list" allowBlank="1" showInputMessage="1" showErrorMessage="1" sqref="AZ10:BC109" xr:uid="{00000000-0002-0000-0200-000001000000}">
      <formula1>",OK,NG"</formula1>
      <formula2>0</formula2>
    </dataValidation>
    <dataValidation type="list" allowBlank="1" showInputMessage="1" showErrorMessage="1" sqref="AY7:BC8" xr:uid="{00000000-0002-0000-0200-000002000000}">
      <formula1>"要（書面）,要（対面）,不要"</formula1>
      <formula2>0</formula2>
    </dataValidation>
    <dataValidation type="list" allowBlank="1" showInputMessage="1" showErrorMessage="1" sqref="AT6:AX6" xr:uid="{00000000-0002-0000-0200-000003000000}">
      <formula1>"書面,対面"</formula1>
      <formula2>0</formula2>
    </dataValidation>
  </dataValidations>
  <pageMargins left="0.23611111111111099" right="0.23611111111111099" top="0.74791666666666701" bottom="0.74791666666666701" header="0.511811023622047" footer="0.511811023622047"/>
  <pageSetup paperSize="9" scale="50" orientation="landscape" horizontalDpi="300" verticalDpi="300" r:id="rId1"/>
  <rowBreaks count="1" manualBreakCount="1">
    <brk id="39" max="16383" man="1"/>
  </rowBreaks>
</worksheet>
</file>

<file path=docProps/app.xml><?xml version="1.0" encoding="utf-8"?>
<Properties xmlns="http://schemas.openxmlformats.org/officeDocument/2006/extended-properties" xmlns:vt="http://schemas.openxmlformats.org/officeDocument/2006/docPropsVTypes">
  <Template/>
  <TotalTime>77</TotalTim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1</vt:i4>
      </vt:variant>
    </vt:vector>
  </HeadingPairs>
  <TitlesOfParts>
    <vt:vector size="3" baseType="lpstr">
      <vt:lpstr>レビュー前セルフチェック記録表_Task.25</vt:lpstr>
      <vt:lpstr>レビュー記録表_Task.25</vt:lpstr>
      <vt:lpstr>レビュー前セルフチェック記録表_Task.25!Print_Area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dc:description/>
  <cp:lastModifiedBy>tys iwzk</cp:lastModifiedBy>
  <cp:revision>33</cp:revision>
  <cp:lastPrinted>2017-02-20T01:11:22Z</cp:lastPrinted>
  <dcterms:created xsi:type="dcterms:W3CDTF">2015-06-09T05:01:32Z</dcterms:created>
  <dcterms:modified xsi:type="dcterms:W3CDTF">2026-08-17T06:32:27Z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